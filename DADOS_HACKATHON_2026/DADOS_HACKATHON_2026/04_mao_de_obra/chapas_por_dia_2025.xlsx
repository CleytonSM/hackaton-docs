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1" autoFilterDateGrouping="1"/>
  </bookViews>
  <sheets>
    <sheet xmlns:r="http://schemas.openxmlformats.org/officeDocument/2006/relationships" name="JANEIRO 2025" sheetId="1" state="visible" r:id="rId1"/>
    <sheet xmlns:r="http://schemas.openxmlformats.org/officeDocument/2006/relationships" name="FEVEREIRO 2025" sheetId="2" state="visible" r:id="rId2"/>
    <sheet xmlns:r="http://schemas.openxmlformats.org/officeDocument/2006/relationships" name="MARÇO 2025" sheetId="3" state="visible" r:id="rId3"/>
    <sheet xmlns:r="http://schemas.openxmlformats.org/officeDocument/2006/relationships" name="ABRIL 2025" sheetId="4" state="visible" r:id="rId4"/>
    <sheet xmlns:r="http://schemas.openxmlformats.org/officeDocument/2006/relationships" name="MAIO 2025" sheetId="5" state="visible" r:id="rId5"/>
    <sheet xmlns:r="http://schemas.openxmlformats.org/officeDocument/2006/relationships" name="JUNHO 2025" sheetId="6" state="visible" r:id="rId6"/>
    <sheet xmlns:r="http://schemas.openxmlformats.org/officeDocument/2006/relationships" name="JULHO 2025" sheetId="7" state="visible" r:id="rId7"/>
    <sheet xmlns:r="http://schemas.openxmlformats.org/officeDocument/2006/relationships" name="AGOSTO 2025" sheetId="8" state="visible" r:id="rId8"/>
    <sheet xmlns:r="http://schemas.openxmlformats.org/officeDocument/2006/relationships" name="SETEMBRO 2025" sheetId="9" state="visible" r:id="rId9"/>
    <sheet xmlns:r="http://schemas.openxmlformats.org/officeDocument/2006/relationships" name="OUTUBRO 2025" sheetId="10" state="visible" r:id="rId10"/>
    <sheet xmlns:r="http://schemas.openxmlformats.org/officeDocument/2006/relationships" name="NOVEMBRO 2025" sheetId="11" state="visible" r:id="rId11"/>
    <sheet xmlns:r="http://schemas.openxmlformats.org/officeDocument/2006/relationships" name="DEZEMBRO 2025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;[Red]\-#,##0.00\ "/>
    <numFmt numFmtId="165" formatCode="#,##0_ ;[Red]\-#,##0\ 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indexed="8"/>
      <sz val="14"/>
    </font>
    <font>
      <name val="Arial"/>
      <family val="2"/>
      <color indexed="8"/>
      <sz val="11"/>
    </font>
    <font>
      <name val="Arial"/>
      <family val="2"/>
      <b val="1"/>
      <color indexed="8"/>
      <sz val="16"/>
    </font>
    <font>
      <name val="Arial"/>
      <family val="2"/>
      <color indexed="8"/>
      <sz val="16"/>
    </font>
    <font>
      <name val="Arial"/>
      <family val="2"/>
      <b val="1"/>
      <i val="1"/>
      <color indexed="8"/>
      <sz val="16"/>
    </font>
    <font>
      <name val="Calibri Light"/>
      <family val="2"/>
      <color indexed="8"/>
      <sz val="16"/>
      <scheme val="major"/>
    </font>
    <font>
      <name val="Calibri"/>
      <family val="2"/>
      <color theme="1"/>
      <sz val="16"/>
      <scheme val="minor"/>
    </font>
    <font>
      <name val="Arial"/>
      <family val="2"/>
      <sz val="16"/>
    </font>
    <font>
      <name val="Arial"/>
      <family val="2"/>
      <color theme="1"/>
      <sz val="16"/>
    </font>
    <font>
      <name val="Arial"/>
      <family val="2"/>
      <color indexed="9"/>
      <sz val="16"/>
    </font>
    <font>
      <name val="Arial"/>
      <family val="2"/>
      <sz val="15"/>
    </font>
    <font>
      <name val="Calibri"/>
      <family val="2"/>
      <color theme="1"/>
      <sz val="20"/>
      <scheme val="minor"/>
    </font>
  </fonts>
  <fills count="10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2" fillId="0" borderId="3" pivotButton="0" quotePrefix="0" xfId="0"/>
    <xf numFmtId="0" fontId="2" fillId="0" borderId="0" pivotButton="0" quotePrefix="0" xfId="0"/>
    <xf numFmtId="0" fontId="2" fillId="0" borderId="6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4" fillId="0" borderId="0" pivotButton="0" quotePrefix="0" xfId="0"/>
    <xf numFmtId="16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164" fontId="2" fillId="0" borderId="0" pivotButton="0" quotePrefix="0" xfId="0"/>
    <xf numFmtId="0" fontId="3" fillId="0" borderId="1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13" pivotButton="0" quotePrefix="0" xfId="0"/>
    <xf numFmtId="2" fontId="4" fillId="0" borderId="14" applyAlignment="1" pivotButton="0" quotePrefix="0" xfId="0">
      <alignment horizontal="center"/>
    </xf>
    <xf numFmtId="2" fontId="3" fillId="0" borderId="14" applyAlignment="1" pivotButton="0" quotePrefix="0" xfId="0">
      <alignment horizontal="center"/>
    </xf>
    <xf numFmtId="164" fontId="6" fillId="0" borderId="0" pivotButton="0" quotePrefix="0" xfId="0"/>
    <xf numFmtId="164" fontId="7" fillId="0" borderId="0" pivotButton="0" quotePrefix="0" xfId="0"/>
    <xf numFmtId="2" fontId="4" fillId="4" borderId="14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164" fontId="6" fillId="0" borderId="13" pivotButton="0" quotePrefix="0" xfId="0"/>
    <xf numFmtId="0" fontId="9" fillId="0" borderId="0" pivotButton="0" quotePrefix="0" xfId="0"/>
    <xf numFmtId="0" fontId="3" fillId="0" borderId="4" applyAlignment="1" pivotButton="0" quotePrefix="0" xfId="0">
      <alignment horizontal="center"/>
    </xf>
    <xf numFmtId="164" fontId="4" fillId="0" borderId="5" pivotButton="0" quotePrefix="0" xfId="0"/>
    <xf numFmtId="164" fontId="4" fillId="0" borderId="6" pivotButton="0" quotePrefix="0" xfId="0"/>
    <xf numFmtId="164" fontId="10" fillId="0" borderId="0" pivotButton="0" quotePrefix="0" xfId="0"/>
    <xf numFmtId="164" fontId="3" fillId="2" borderId="15" pivotButton="0" quotePrefix="0" xfId="0"/>
    <xf numFmtId="164" fontId="3" fillId="2" borderId="16" pivotButton="0" quotePrefix="0" xfId="0"/>
    <xf numFmtId="164" fontId="4" fillId="2" borderId="16" pivotButton="0" quotePrefix="0" xfId="0"/>
    <xf numFmtId="164" fontId="3" fillId="2" borderId="17" pivotButton="0" quotePrefix="0" xfId="0"/>
    <xf numFmtId="164" fontId="3" fillId="0" borderId="18" pivotButton="0" quotePrefix="0" xfId="0"/>
    <xf numFmtId="164" fontId="3" fillId="0" borderId="19" pivotButton="0" quotePrefix="0" xfId="0"/>
    <xf numFmtId="164" fontId="3" fillId="0" borderId="20" pivotButton="0" quotePrefix="0" xfId="0"/>
    <xf numFmtId="164" fontId="3" fillId="2" borderId="7" pivotButton="0" quotePrefix="0" xfId="0"/>
    <xf numFmtId="165" fontId="4" fillId="0" borderId="21" pivotButton="0" quotePrefix="0" xfId="0"/>
    <xf numFmtId="164" fontId="3" fillId="0" borderId="12" pivotButton="0" quotePrefix="0" xfId="0"/>
    <xf numFmtId="0" fontId="4" fillId="0" borderId="19" applyAlignment="1" pivotButton="0" quotePrefix="0" xfId="0">
      <alignment horizontal="left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16" fontId="3" fillId="0" borderId="22" applyAlignment="1" pivotButton="0" quotePrefix="0" xfId="0">
      <alignment horizontal="center"/>
    </xf>
    <xf numFmtId="16" fontId="3" fillId="0" borderId="14" applyAlignment="1" pivotButton="0" quotePrefix="0" xfId="0">
      <alignment horizontal="center"/>
    </xf>
    <xf numFmtId="164" fontId="3" fillId="0" borderId="12" applyAlignment="1" pivotButton="0" quotePrefix="0" xfId="0">
      <alignment horizontal="center"/>
    </xf>
    <xf numFmtId="4" fontId="4" fillId="0" borderId="0" applyAlignment="1" pivotButton="0" quotePrefix="0" xfId="0">
      <alignment horizontal="right" vertical="center" wrapText="1"/>
    </xf>
    <xf numFmtId="4" fontId="4" fillId="0" borderId="13" applyAlignment="1" pivotButton="0" quotePrefix="0" xfId="0">
      <alignment horizontal="right"/>
    </xf>
    <xf numFmtId="4" fontId="3" fillId="0" borderId="14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4" fontId="4" fillId="0" borderId="14" applyAlignment="1" pivotButton="0" quotePrefix="0" xfId="0">
      <alignment horizontal="center" vertical="center"/>
    </xf>
    <xf numFmtId="2" fontId="4" fillId="0" borderId="1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/>
    </xf>
    <xf numFmtId="4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right" vertical="center" wrapText="1"/>
    </xf>
    <xf numFmtId="4" fontId="4" fillId="0" borderId="6" applyAlignment="1" pivotButton="0" quotePrefix="0" xfId="0">
      <alignment horizontal="right"/>
    </xf>
    <xf numFmtId="165" fontId="4" fillId="0" borderId="0" pivotButton="0" quotePrefix="0" xfId="0"/>
    <xf numFmtId="165" fontId="4" fillId="0" borderId="9" pivotButton="0" quotePrefix="0" xfId="0"/>
    <xf numFmtId="0" fontId="0" fillId="6" borderId="0" pivotButton="0" quotePrefix="0" xfId="0"/>
    <xf numFmtId="164" fontId="4" fillId="6" borderId="0" pivotButton="0" quotePrefix="0" xfId="0"/>
    <xf numFmtId="164" fontId="3" fillId="6" borderId="12" pivotButton="0" quotePrefix="0" xfId="0"/>
    <xf numFmtId="2" fontId="8" fillId="4" borderId="14" applyAlignment="1" pivotButton="0" quotePrefix="0" xfId="0">
      <alignment horizontal="center"/>
    </xf>
    <xf numFmtId="164" fontId="3" fillId="2" borderId="8" applyAlignment="1" pivotButton="0" quotePrefix="0" xfId="0">
      <alignment horizontal="left"/>
    </xf>
    <xf numFmtId="164" fontId="3" fillId="2" borderId="9" applyAlignment="1" pivotButton="0" quotePrefix="0" xfId="0">
      <alignment horizontal="left"/>
    </xf>
    <xf numFmtId="164" fontId="3" fillId="5" borderId="7" applyAlignment="1" pivotButton="0" quotePrefix="0" xfId="0">
      <alignment horizontal="left"/>
    </xf>
    <xf numFmtId="164" fontId="3" fillId="5" borderId="9" applyAlignment="1" pivotButton="0" quotePrefix="0" xfId="0">
      <alignment horizontal="left"/>
    </xf>
    <xf numFmtId="0" fontId="1" fillId="0" borderId="1" pivotButton="0" quotePrefix="0" xfId="0"/>
    <xf numFmtId="0" fontId="1" fillId="0" borderId="2" pivotButton="0" quotePrefix="0" xfId="0"/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2" fontId="5" fillId="2" borderId="1" applyAlignment="1" pivotButton="0" quotePrefix="0" xfId="0">
      <alignment horizontal="center"/>
    </xf>
    <xf numFmtId="164" fontId="3" fillId="8" borderId="12" pivotButton="0" quotePrefix="0" xfId="0"/>
    <xf numFmtId="164" fontId="4" fillId="8" borderId="0" pivotButton="0" quotePrefix="0" xfId="0"/>
    <xf numFmtId="0" fontId="0" fillId="8" borderId="0" pivotButton="0" quotePrefix="0" xfId="0"/>
    <xf numFmtId="2" fontId="8" fillId="3" borderId="14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4" fontId="4" fillId="0" borderId="5" applyAlignment="1" pivotButton="0" quotePrefix="0" xfId="0">
      <alignment horizontal="center"/>
    </xf>
    <xf numFmtId="4" fontId="4" fillId="0" borderId="0" applyAlignment="1" pivotButton="0" quotePrefix="0" xfId="0">
      <alignment vertical="center" wrapText="1"/>
    </xf>
    <xf numFmtId="4" fontId="4" fillId="0" borderId="13" pivotButton="0" quotePrefix="0" xfId="0"/>
    <xf numFmtId="4" fontId="4" fillId="0" borderId="0" pivotButton="0" quotePrefix="0" xfId="0"/>
    <xf numFmtId="0" fontId="11" fillId="0" borderId="0" applyAlignment="1" pivotButton="0" quotePrefix="0" xfId="0">
      <alignment horizontal="left" vertical="center"/>
    </xf>
    <xf numFmtId="4" fontId="4" fillId="0" borderId="5" pivotButton="0" quotePrefix="0" xfId="0"/>
    <xf numFmtId="4" fontId="4" fillId="0" borderId="5" applyAlignment="1" pivotButton="0" quotePrefix="0" xfId="0">
      <alignment vertical="center" wrapText="1"/>
    </xf>
    <xf numFmtId="4" fontId="4" fillId="0" borderId="6" pivotButton="0" quotePrefix="0" xfId="0"/>
    <xf numFmtId="164" fontId="3" fillId="0" borderId="0" pivotButton="0" quotePrefix="0" xfId="0"/>
    <xf numFmtId="164" fontId="7" fillId="3" borderId="0" pivotButton="0" quotePrefix="0" xfId="0"/>
    <xf numFmtId="164" fontId="12" fillId="0" borderId="0" pivotButton="0" quotePrefix="0" xfId="0"/>
    <xf numFmtId="164" fontId="0" fillId="0" borderId="0" pivotButton="0" quotePrefix="0" xfId="0"/>
    <xf numFmtId="164" fontId="2" fillId="8" borderId="0" pivotButton="0" quotePrefix="0" xfId="0"/>
    <xf numFmtId="164" fontId="0" fillId="8" borderId="0" pivotButton="0" quotePrefix="0" xfId="0"/>
    <xf numFmtId="0" fontId="4" fillId="9" borderId="0" applyAlignment="1" pivotButton="0" quotePrefix="0" xfId="0">
      <alignment horizontal="left"/>
    </xf>
    <xf numFmtId="2" fontId="4" fillId="9" borderId="14" applyAlignment="1" pivotButton="0" quotePrefix="0" xfId="0">
      <alignment horizontal="center"/>
    </xf>
    <xf numFmtId="2" fontId="4" fillId="7" borderId="14" applyAlignment="1" pivotButton="0" quotePrefix="0" xfId="0">
      <alignment horizontal="center"/>
    </xf>
    <xf numFmtId="0" fontId="0" fillId="0" borderId="2" pivotButton="0" quotePrefix="0" xfId="0"/>
    <xf numFmtId="0" fontId="0" fillId="0" borderId="5" pivotButton="0" quotePrefix="0" xfId="0"/>
    <xf numFmtId="0" fontId="3" fillId="0" borderId="2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11" applyAlignment="1" pivotButton="0" quotePrefix="0" xfId="0">
      <alignment horizontal="center"/>
    </xf>
    <xf numFmtId="0" fontId="0" fillId="0" borderId="3" pivotButton="0" quotePrefix="0" xfId="0"/>
    <xf numFmtId="0" fontId="5" fillId="2" borderId="21" applyAlignment="1" pivotButton="0" quotePrefix="0" xfId="0">
      <alignment horizontal="center"/>
    </xf>
    <xf numFmtId="2" fontId="5" fillId="2" borderId="11" applyAlignment="1" pivotButton="0" quotePrefix="0" xfId="0">
      <alignment horizontal="center"/>
    </xf>
    <xf numFmtId="164" fontId="3" fillId="5" borderId="2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201410</colOff>
      <row>3</row>
      <rowOff>81915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9265" cy="6305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150322</colOff>
      <row>3</row>
      <rowOff>89535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29740" cy="638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334241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0</col>
      <colOff>1885950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103322</colOff>
      <row>0</row>
      <rowOff>0</rowOff>
    </from>
    <to>
      <col>1</col>
      <colOff>502401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417" y="0"/>
          <a:ext cx="1784534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568779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306532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0</col>
      <colOff>1891492</colOff>
      <row>4</row>
      <rowOff>80010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9092" cy="8115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742950</colOff>
      <row>4</row>
      <rowOff>118110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1</col>
      <colOff>902970</colOff>
      <row>3</row>
      <rowOff>87630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6362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152400</colOff>
      <row>0</row>
      <rowOff>0</rowOff>
    </from>
    <to>
      <col>0</col>
      <colOff>1885950</colOff>
      <row>6</row>
      <rowOff>19050</rowOff>
    </to>
    <pic>
      <nvPicPr>
        <cNvPr id="2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0"/>
          <a:ext cx="1733550" cy="11163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zoomScale="55" zoomScaleNormal="55" workbookViewId="0">
      <selection activeCell="AB62" sqref="M62:AB63"/>
    </sheetView>
  </sheetViews>
  <sheetFormatPr baseColWidth="8" defaultRowHeight="14.4"/>
  <cols>
    <col width="24.5546875" customWidth="1" min="1" max="1"/>
    <col width="54" customWidth="1" min="2" max="2"/>
    <col width="15.6640625" bestFit="1" customWidth="1" min="3" max="3"/>
    <col width="14" bestFit="1" customWidth="1" min="4" max="4"/>
    <col width="15.6640625" bestFit="1" customWidth="1" min="5" max="5"/>
    <col width="14" bestFit="1" customWidth="1" min="6" max="6"/>
    <col width="20.33203125" bestFit="1" customWidth="1" min="7" max="7"/>
    <col width="14" bestFit="1" customWidth="1" min="8" max="9"/>
    <col width="10.44140625" bestFit="1" customWidth="1" min="10" max="10"/>
    <col width="15.6640625" bestFit="1" customWidth="1" min="11" max="11"/>
    <col width="17.5546875" customWidth="1" min="13" max="13"/>
    <col width="14" bestFit="1" customWidth="1" min="14" max="14"/>
    <col width="11.33203125" bestFit="1" customWidth="1" min="15" max="15"/>
    <col width="14" bestFit="1" customWidth="1" min="16" max="20"/>
    <col width="11.33203125" bestFit="1" customWidth="1" min="21" max="23"/>
    <col width="14" bestFit="1" customWidth="1" min="24" max="24"/>
    <col width="8" bestFit="1" customWidth="1" min="25" max="25"/>
    <col width="11.5546875" bestFit="1" customWidth="1" min="27" max="27"/>
    <col width="15.6640625" bestFit="1" customWidth="1" min="28" max="28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45659</v>
      </c>
      <c r="N5" s="11" t="n">
        <v>45660</v>
      </c>
      <c r="O5" s="11" t="n">
        <v>45661</v>
      </c>
      <c r="P5" s="11" t="n">
        <v>45663</v>
      </c>
      <c r="Q5" s="11" t="n">
        <v>45664</v>
      </c>
      <c r="R5" s="11" t="n">
        <v>8</v>
      </c>
      <c r="S5" s="11" t="n">
        <v>9</v>
      </c>
      <c r="T5" s="11" t="n">
        <v>10</v>
      </c>
      <c r="U5" s="11" t="n">
        <v>11</v>
      </c>
      <c r="V5" s="11" t="n">
        <v>13</v>
      </c>
      <c r="W5" s="11" t="n">
        <v>14</v>
      </c>
      <c r="X5" s="11" t="n">
        <v>15</v>
      </c>
      <c r="Y5" s="11" t="n"/>
      <c r="Z5" s="11" t="n"/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15" t="inlineStr">
        <is>
          <t>CHAPA_01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IF(E6&lt;=$F$61,E6*$G$61,IF(E6&lt;=$F$62,E6*$G$62,IF(E6&lt;=$F$63,E6*$G$63,513.0125)))</f>
        <v/>
      </c>
      <c r="J6" s="9" t="n"/>
      <c r="K6" s="10" t="n"/>
      <c r="L6" s="10" t="n"/>
      <c r="M6" s="17" t="n">
        <v>0</v>
      </c>
      <c r="N6" s="17" t="n">
        <v>0</v>
      </c>
      <c r="O6" s="17" t="n">
        <v>7.88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78.84</v>
      </c>
      <c r="Y6" s="17" t="n"/>
      <c r="Z6" s="17" t="n"/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15" t="inlineStr">
        <is>
          <t>CHAPA_04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IF(E7&lt;=$F$61,E7*$G$61,IF(E7&lt;=$F$62,E7*$G$62,IF(E7&lt;=$F$63,E7*$G$63,513.0125)))</f>
        <v/>
      </c>
      <c r="J7" s="9" t="n"/>
      <c r="K7" s="20" t="n"/>
      <c r="L7" s="10" t="n"/>
      <c r="M7" s="21" t="n">
        <v>78.84</v>
      </c>
      <c r="N7" s="21" t="n">
        <v>78.84</v>
      </c>
      <c r="O7" s="21" t="n">
        <v>23.65</v>
      </c>
      <c r="P7" s="21" t="n">
        <v>78.84</v>
      </c>
      <c r="Q7" s="21" t="n">
        <v>78.84</v>
      </c>
      <c r="R7" s="21" t="n">
        <v>78.84</v>
      </c>
      <c r="S7" s="21" t="n">
        <v>78.84</v>
      </c>
      <c r="T7" s="21" t="n">
        <v>78.84</v>
      </c>
      <c r="U7" s="21" t="n">
        <v>39.42</v>
      </c>
      <c r="V7" s="17" t="n">
        <v>0</v>
      </c>
      <c r="W7" s="17" t="n">
        <v>0</v>
      </c>
      <c r="X7" s="17" t="n">
        <v>0</v>
      </c>
      <c r="Y7" s="17" t="n"/>
      <c r="Z7" s="17" t="n"/>
      <c r="AA7" s="18">
        <f>SUM(M7:Z7)</f>
        <v/>
      </c>
      <c r="AB7" s="13" t="n"/>
    </row>
    <row r="8" ht="21" customHeight="1">
      <c r="A8" s="14" t="inlineStr">
        <is>
          <t>FRANCA</t>
        </is>
      </c>
      <c r="B8" s="22" t="inlineStr">
        <is>
          <t>CHAPA_06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IF(E8&lt;=$F$61,E8*$G$61,IF(E8&lt;=$F$62,E8*$G$62,IF(E8&lt;=$F$63,E8*$G$63,513.0125)))</f>
        <v/>
      </c>
      <c r="J8" s="9" t="n"/>
      <c r="K8" s="10" t="n"/>
      <c r="L8" s="10" t="n"/>
      <c r="M8" s="17" t="n">
        <v>78.84</v>
      </c>
      <c r="N8" s="17" t="n">
        <v>84.39</v>
      </c>
      <c r="O8" s="17" t="n">
        <v>23.65</v>
      </c>
      <c r="P8" s="17" t="n">
        <v>78.84</v>
      </c>
      <c r="Q8" s="17" t="n">
        <v>78.84</v>
      </c>
      <c r="R8" s="17" t="n">
        <v>78.84</v>
      </c>
      <c r="S8" s="17" t="n">
        <v>78.84</v>
      </c>
      <c r="T8" s="17" t="n">
        <v>78.84</v>
      </c>
      <c r="U8" s="17" t="n">
        <v>39.42</v>
      </c>
      <c r="V8" s="17" t="n">
        <v>83.83</v>
      </c>
      <c r="W8" s="17" t="n">
        <v>78.84</v>
      </c>
      <c r="X8" s="17" t="n">
        <v>78.84</v>
      </c>
      <c r="Y8" s="17" t="n"/>
      <c r="Z8" s="17" t="n"/>
      <c r="AA8" s="18">
        <f>SUM(M8:Z8)</f>
        <v/>
      </c>
      <c r="AB8" s="13" t="n"/>
    </row>
    <row r="9" ht="21" customHeight="1">
      <c r="A9" s="14" t="inlineStr">
        <is>
          <t>FRANCA</t>
        </is>
      </c>
      <c r="B9" s="15" t="inlineStr">
        <is>
          <t>CHAPA_10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IF(E9&lt;=$F$61,E9*$G$61,IF(E9&lt;=$F$62,E9*$G$62,IF(E9&lt;=$F$63,E9*$G$63,513.0125)))</f>
        <v/>
      </c>
      <c r="J9" s="9" t="n"/>
      <c r="K9" s="10" t="n"/>
      <c r="L9" s="10" t="n"/>
      <c r="M9" s="17" t="n">
        <v>0</v>
      </c>
      <c r="N9" s="17" t="n">
        <v>84.39</v>
      </c>
      <c r="O9" s="17" t="n">
        <v>55.18</v>
      </c>
      <c r="P9" s="17" t="n">
        <v>78.84</v>
      </c>
      <c r="Q9" s="17" t="n">
        <v>78.88</v>
      </c>
      <c r="R9" s="17" t="n">
        <v>39.42</v>
      </c>
      <c r="S9" s="17" t="n">
        <v>78.84</v>
      </c>
      <c r="T9" s="17" t="n">
        <v>86.22</v>
      </c>
      <c r="U9" s="17" t="n">
        <v>70.95999999999999</v>
      </c>
      <c r="V9" s="17" t="n">
        <v>83.83</v>
      </c>
      <c r="W9" s="17" t="n">
        <v>78.84</v>
      </c>
      <c r="X9" s="17" t="n">
        <v>78.84</v>
      </c>
      <c r="Y9" s="17" t="n"/>
      <c r="Z9" s="17" t="n"/>
      <c r="AA9" s="18">
        <f>SUM(M9:Z9)</f>
        <v/>
      </c>
      <c r="AB9" s="13" t="n"/>
    </row>
    <row r="10" ht="21" customHeight="1">
      <c r="A10" s="14" t="inlineStr">
        <is>
          <t>FRANCA</t>
        </is>
      </c>
      <c r="B10" s="4" t="inlineStr">
        <is>
          <t>CHAPA_11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IF(E10&lt;=$F$61,E10*$G$61,IF(E10&lt;=$F$62,E10*$G$62,IF(E10&lt;=$F$63,E10*$G$63,513.0125)))</f>
        <v/>
      </c>
      <c r="J10" s="9" t="n"/>
      <c r="K10" s="10" t="n"/>
      <c r="L10" s="10" t="n"/>
      <c r="M10" s="17" t="n">
        <v>0</v>
      </c>
      <c r="N10" s="17" t="n">
        <v>0</v>
      </c>
      <c r="O10" s="17" t="n">
        <v>0</v>
      </c>
      <c r="P10" s="17" t="n">
        <v>78.84</v>
      </c>
      <c r="Q10" s="17" t="n">
        <v>78.84</v>
      </c>
      <c r="R10" s="17" t="n">
        <v>78.84</v>
      </c>
      <c r="S10" s="17" t="n">
        <v>78.84</v>
      </c>
      <c r="T10" s="17" t="n">
        <v>78.84</v>
      </c>
      <c r="U10" s="17" t="n">
        <v>39.42</v>
      </c>
      <c r="V10" s="17" t="n">
        <v>83.83</v>
      </c>
      <c r="W10" s="17" t="n">
        <v>78.84</v>
      </c>
      <c r="X10" s="17" t="n">
        <v>78.84</v>
      </c>
      <c r="Y10" s="17" t="n"/>
      <c r="Z10" s="17" t="n"/>
      <c r="AA10" s="18">
        <f>SUM(M10:Z10)</f>
        <v/>
      </c>
      <c r="AB10" s="13" t="n"/>
    </row>
    <row r="11" ht="21" customHeight="1">
      <c r="A11" s="14" t="inlineStr">
        <is>
          <t>FRANCA</t>
        </is>
      </c>
      <c r="B11" s="24" t="inlineStr">
        <is>
          <t>CHAPA_13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IF(E11&lt;=$F$61,E11*$G$61,IF(E11&lt;=$F$62,E11*$G$62,IF(E11&lt;=$F$63,E11*$G$63,513.0125)))</f>
        <v/>
      </c>
      <c r="J11" s="9" t="n"/>
      <c r="K11" s="10" t="n"/>
      <c r="L11" s="10" t="n"/>
      <c r="M11" s="17" t="n">
        <v>78.84</v>
      </c>
      <c r="N11" s="17" t="n">
        <v>84.38</v>
      </c>
      <c r="O11" s="17" t="n">
        <v>55.18</v>
      </c>
      <c r="P11" s="17" t="n">
        <v>78.84</v>
      </c>
      <c r="Q11" s="17" t="n">
        <v>78.84</v>
      </c>
      <c r="R11" s="17" t="n">
        <v>78.84</v>
      </c>
      <c r="S11" s="17" t="n">
        <v>23.65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/>
      <c r="Z11" s="17" t="n"/>
      <c r="AA11" s="18">
        <f>SUM(M11:Z11)</f>
        <v/>
      </c>
      <c r="AB11" s="13" t="n"/>
    </row>
    <row r="12" ht="21" customHeight="1">
      <c r="A12" s="14" t="inlineStr">
        <is>
          <t>FRANCA</t>
        </is>
      </c>
      <c r="B12" s="24" t="inlineStr">
        <is>
          <t>CHAPA_15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IF(E12&lt;=$F$61,E12*$G$61,IF(E12&lt;=$F$62,E12*$G$62,IF(E12&lt;=$F$63,E12*$G$63,513.0125)))</f>
        <v/>
      </c>
      <c r="J12" s="9" t="n"/>
      <c r="K12" s="10" t="n"/>
      <c r="L12" s="10" t="n"/>
      <c r="M12" s="17" t="n">
        <v>78.84</v>
      </c>
      <c r="N12" s="17" t="n">
        <v>84.38</v>
      </c>
      <c r="O12" s="17" t="n">
        <v>23.65</v>
      </c>
      <c r="P12" s="17" t="n">
        <v>78.84</v>
      </c>
      <c r="Q12" s="17" t="n">
        <v>78.83</v>
      </c>
      <c r="R12" s="17" t="n">
        <v>78.84</v>
      </c>
      <c r="S12" s="17" t="n">
        <v>78.84</v>
      </c>
      <c r="T12" s="17" t="n">
        <v>78.84</v>
      </c>
      <c r="U12" s="17" t="n">
        <v>78.84</v>
      </c>
      <c r="V12" s="21" t="n">
        <v>78.84</v>
      </c>
      <c r="W12" s="17" t="n">
        <v>78.84</v>
      </c>
      <c r="X12" s="17" t="n">
        <v>78.84</v>
      </c>
      <c r="Y12" s="17" t="n"/>
      <c r="Z12" s="17" t="n"/>
      <c r="AA12" s="18">
        <f>SUM(M12:Z12)</f>
        <v/>
      </c>
      <c r="AB12" s="13" t="n"/>
    </row>
    <row r="13" ht="21" customHeight="1">
      <c r="A13" s="14" t="inlineStr">
        <is>
          <t>FRANCA</t>
        </is>
      </c>
      <c r="B13" s="22" t="inlineStr">
        <is>
          <t>CHAPA_16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IF(E13&lt;=$F$61,E13*$G$61,IF(E13&lt;=$F$62,E13*$G$62,IF(E13&lt;=$F$63,E13*$G$63,513.0125)))</f>
        <v/>
      </c>
      <c r="J13" s="9" t="n"/>
      <c r="K13" s="10" t="n"/>
      <c r="L13" s="10" t="n"/>
      <c r="M13" s="17" t="n">
        <v>0</v>
      </c>
      <c r="N13" s="17" t="n">
        <v>0</v>
      </c>
      <c r="O13" s="17" t="n">
        <v>7.88</v>
      </c>
      <c r="P13" s="17" t="n">
        <v>78.84</v>
      </c>
      <c r="Q13" s="17" t="n">
        <v>78.83</v>
      </c>
      <c r="R13" s="17" t="n">
        <v>78.84</v>
      </c>
      <c r="S13" s="17" t="n">
        <v>78.84</v>
      </c>
      <c r="T13" s="17" t="n">
        <v>78.84</v>
      </c>
      <c r="U13" s="17" t="n">
        <v>39.42</v>
      </c>
      <c r="V13" s="17" t="n">
        <v>0</v>
      </c>
      <c r="W13" s="17" t="n">
        <v>78.84</v>
      </c>
      <c r="X13" s="17" t="n">
        <v>78.84</v>
      </c>
      <c r="Y13" s="17" t="n"/>
      <c r="Z13" s="17" t="n"/>
      <c r="AA13" s="18">
        <f>SUM(M13:Z13)</f>
        <v/>
      </c>
      <c r="AB13" s="13" t="n"/>
    </row>
    <row r="14" ht="21" customHeight="1">
      <c r="A14" s="14" t="inlineStr">
        <is>
          <t>FRANCA</t>
        </is>
      </c>
      <c r="B14" s="15" t="inlineStr">
        <is>
          <t>CHAPA_20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IF(E14&lt;=$F$61,E14*$G$61,IF(E14&lt;=$F$62,E14*$G$62,IF(E14&lt;=$F$63,E14*$G$63,513.0125)))</f>
        <v/>
      </c>
      <c r="J14" s="9" t="n"/>
      <c r="K14" s="10" t="n"/>
      <c r="L14" s="10" t="n"/>
      <c r="M14" s="17" t="n">
        <v>0</v>
      </c>
      <c r="N14" s="17" t="n">
        <v>0</v>
      </c>
      <c r="O14" s="17" t="n">
        <v>7.88</v>
      </c>
      <c r="P14" s="21" t="n">
        <v>78.83</v>
      </c>
      <c r="Q14" s="21" t="n">
        <v>78.83</v>
      </c>
      <c r="R14" s="21" t="n">
        <v>78.83</v>
      </c>
      <c r="S14" s="21" t="n">
        <v>78.83</v>
      </c>
      <c r="T14" s="21" t="n">
        <v>78.83</v>
      </c>
      <c r="U14" s="21" t="n">
        <v>39.42</v>
      </c>
      <c r="V14" s="21" t="n">
        <v>78.83</v>
      </c>
      <c r="W14" s="21" t="n">
        <v>78.84</v>
      </c>
      <c r="X14" s="21" t="n">
        <v>78.84</v>
      </c>
      <c r="Y14" s="17" t="n"/>
      <c r="Z14" s="17" t="n"/>
      <c r="AA14" s="18">
        <f>SUM(M14:Z14)</f>
        <v/>
      </c>
      <c r="AB14" s="13" t="n"/>
    </row>
    <row r="15" ht="21" customHeight="1">
      <c r="A15" s="14" t="inlineStr">
        <is>
          <t>FRANCA</t>
        </is>
      </c>
      <c r="B15" s="15" t="inlineStr">
        <is>
          <t>CHAPA_26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IF(E15&lt;=$F$61,E15*$G$61,IF(E15&lt;=$F$62,E15*$G$62,IF(E15&lt;=$F$63,E15*$G$63,513.0125)))</f>
        <v/>
      </c>
      <c r="J15" s="9" t="n"/>
      <c r="K15" s="10" t="n"/>
      <c r="L15" s="10" t="n"/>
      <c r="M15" s="17" t="n">
        <v>78.84</v>
      </c>
      <c r="N15" s="17" t="n">
        <v>84.38</v>
      </c>
      <c r="O15" s="17" t="n">
        <v>23.65</v>
      </c>
      <c r="P15" s="17" t="n">
        <v>78.84</v>
      </c>
      <c r="Q15" s="17" t="n">
        <v>78.83</v>
      </c>
      <c r="R15" s="17" t="n">
        <v>78.84</v>
      </c>
      <c r="S15" s="17" t="n">
        <v>78.84</v>
      </c>
      <c r="T15" s="17" t="n">
        <v>78.84</v>
      </c>
      <c r="U15" s="17" t="n">
        <v>39.42</v>
      </c>
      <c r="V15" s="17" t="n">
        <v>83.83</v>
      </c>
      <c r="W15" s="17" t="n">
        <v>78.84</v>
      </c>
      <c r="X15" s="21" t="n">
        <v>78.83</v>
      </c>
      <c r="Y15" s="17" t="n"/>
      <c r="Z15" s="17" t="n"/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4" t="inlineStr">
        <is>
          <t>CHAPA_27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IF(E16&lt;=$F$61,E16*$G$61,IF(E16&lt;=$F$62,E16*$G$62,IF(E16&lt;=$F$63,E16*$G$63,513.0125)))</f>
        <v/>
      </c>
      <c r="J16" s="9" t="n"/>
      <c r="K16" s="10" t="n"/>
      <c r="L16" s="10" t="n"/>
      <c r="M16" s="17" t="n">
        <v>0</v>
      </c>
      <c r="N16" s="21" t="n">
        <v>78.83</v>
      </c>
      <c r="O16" s="17" t="n">
        <v>55.18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/>
      <c r="Z16" s="17" t="n"/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24" t="inlineStr">
        <is>
          <t>CHAPA_32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IF(E17&lt;=$F$61,E17*$G$61,IF(E17&lt;=$F$62,E17*$G$62,IF(E17&lt;=$F$63,E17*$G$63,513.0125)))</f>
        <v/>
      </c>
      <c r="J17" s="9" t="n"/>
      <c r="K17" s="10" t="n"/>
      <c r="L17" s="10" t="n"/>
      <c r="M17" s="17" t="n">
        <v>0</v>
      </c>
      <c r="N17" s="17" t="n">
        <v>0</v>
      </c>
      <c r="O17" s="17" t="n">
        <v>0</v>
      </c>
      <c r="P17" s="17" t="n">
        <v>78.84</v>
      </c>
      <c r="Q17" s="17" t="n">
        <v>78.83</v>
      </c>
      <c r="R17" s="17" t="n">
        <v>78.84</v>
      </c>
      <c r="S17" s="17" t="n">
        <v>78.84</v>
      </c>
      <c r="T17" s="17" t="n">
        <v>78.84</v>
      </c>
      <c r="U17" s="17" t="n">
        <v>78.84</v>
      </c>
      <c r="V17" s="17" t="n">
        <v>83.83</v>
      </c>
      <c r="W17" s="17" t="n">
        <v>78.84</v>
      </c>
      <c r="X17" s="17" t="n">
        <v>78.84</v>
      </c>
      <c r="Y17" s="17" t="n"/>
      <c r="Z17" s="17" t="n"/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inlineStr">
        <is>
          <t>CHAPA_35</t>
        </is>
      </c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IF(E18&lt;=$F$61,E18*$G$61,IF(E18&lt;=$F$62,E18*$G$62,IF(E18&lt;=$F$63,E18*$G$63,513.0125)))</f>
        <v/>
      </c>
      <c r="J18" s="9" t="n"/>
      <c r="K18" s="10" t="n"/>
      <c r="L18" s="10" t="n"/>
      <c r="M18" s="17" t="n">
        <v>78.84</v>
      </c>
      <c r="N18" s="17" t="n">
        <v>84.38</v>
      </c>
      <c r="O18" s="17" t="n">
        <v>63.07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/>
      <c r="Z18" s="17" t="n"/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inlineStr">
        <is>
          <t>CHAPA_36</t>
        </is>
      </c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IF(E19&lt;=$F$61,E19*$G$61,IF(E19&lt;=$F$62,E19*$G$62,IF(E19&lt;=$F$63,E19*$G$63,513.0125)))</f>
        <v/>
      </c>
      <c r="J19" s="9" t="n"/>
      <c r="K19" s="10" t="n"/>
      <c r="L19" s="10" t="n"/>
      <c r="M19" s="17" t="n">
        <v>0</v>
      </c>
      <c r="N19" s="17" t="n">
        <v>84.38</v>
      </c>
      <c r="O19" s="17" t="n">
        <v>15.76</v>
      </c>
      <c r="P19" s="17" t="n">
        <v>78.83</v>
      </c>
      <c r="Q19" s="17" t="n">
        <v>78.83</v>
      </c>
      <c r="R19" s="17" t="n">
        <v>39.41</v>
      </c>
      <c r="S19" s="17" t="n">
        <v>78.83</v>
      </c>
      <c r="T19" s="17" t="n">
        <v>78.83</v>
      </c>
      <c r="U19" s="17" t="n">
        <v>31.54</v>
      </c>
      <c r="V19" s="17" t="n">
        <v>83.83</v>
      </c>
      <c r="W19" s="17" t="n">
        <v>78.83</v>
      </c>
      <c r="X19" s="17" t="n">
        <v>78.83</v>
      </c>
      <c r="Y19" s="17" t="n"/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inlineStr">
        <is>
          <t>CHAPA_38</t>
        </is>
      </c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IF(E20&lt;=$F$61,E20*$G$61,IF(E20&lt;=$F$62,E20*$G$62,IF(E20&lt;=$F$63,E20*$G$63,513.0125)))</f>
        <v/>
      </c>
      <c r="J20" s="9" t="n"/>
      <c r="K20" s="10" t="n"/>
      <c r="L20" s="10" t="n"/>
      <c r="M20" s="17" t="n">
        <v>78.83</v>
      </c>
      <c r="N20" s="17" t="n">
        <v>84.38</v>
      </c>
      <c r="O20" s="17" t="n">
        <v>63.07</v>
      </c>
      <c r="P20" s="17" t="n">
        <v>78.83</v>
      </c>
      <c r="Q20" s="17" t="n">
        <v>78.83</v>
      </c>
      <c r="R20" s="17" t="n">
        <v>78.83</v>
      </c>
      <c r="S20" s="17" t="n">
        <v>78.83</v>
      </c>
      <c r="T20" s="17" t="n">
        <v>78.83</v>
      </c>
      <c r="U20" s="17" t="n">
        <v>78.84</v>
      </c>
      <c r="V20" s="17" t="n">
        <v>83.81999999999999</v>
      </c>
      <c r="W20" s="17" t="n">
        <v>78.83</v>
      </c>
      <c r="X20" s="17" t="n">
        <v>78.83</v>
      </c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inlineStr">
        <is>
          <t>CHAPA_40</t>
        </is>
      </c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IF(E21&lt;=$F$61,E21*$G$61,IF(E21&lt;=$F$62,E21*$G$62,IF(E21&lt;=$F$63,E21*$G$63,513.0125)))</f>
        <v/>
      </c>
      <c r="J21" s="9" t="n"/>
      <c r="K21" s="10" t="n"/>
      <c r="L21" s="10" t="n"/>
      <c r="M21" s="17" t="n">
        <v>54.16</v>
      </c>
      <c r="N21" s="17" t="n">
        <v>84.38</v>
      </c>
      <c r="O21" s="17" t="n">
        <v>63.06</v>
      </c>
      <c r="P21" s="17" t="n">
        <v>78.83</v>
      </c>
      <c r="Q21" s="17" t="n">
        <v>78.83</v>
      </c>
      <c r="R21" s="17" t="n">
        <v>78.83</v>
      </c>
      <c r="S21" s="17" t="n">
        <v>78.83</v>
      </c>
      <c r="T21" s="17" t="n">
        <v>78.83</v>
      </c>
      <c r="U21" s="17" t="n">
        <v>78.83</v>
      </c>
      <c r="V21" s="17" t="n">
        <v>83.81999999999999</v>
      </c>
      <c r="W21" s="17" t="n">
        <v>78.83</v>
      </c>
      <c r="X21" s="17" t="n">
        <v>78.83</v>
      </c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inlineStr">
        <is>
          <t>CHAPA_41</t>
        </is>
      </c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IF(E22&lt;=$F$61,E22*$G$61,IF(E22&lt;=$F$62,E22*$G$62,IF(E22&lt;=$F$63,E22*$G$63,513.0125)))</f>
        <v/>
      </c>
      <c r="J22" s="9" t="n"/>
      <c r="K22" s="10" t="n"/>
      <c r="L22" s="10" t="n"/>
      <c r="M22" s="17" t="n">
        <v>78.83</v>
      </c>
      <c r="N22" s="17" t="n">
        <v>84.38</v>
      </c>
      <c r="O22" s="17" t="n">
        <v>23.65</v>
      </c>
      <c r="P22" s="17" t="n">
        <v>78.83</v>
      </c>
      <c r="Q22" s="17" t="n">
        <v>78.83</v>
      </c>
      <c r="R22" s="17" t="n">
        <v>78.83</v>
      </c>
      <c r="S22" s="17" t="n">
        <v>78.83</v>
      </c>
      <c r="T22" s="17" t="n">
        <v>78.83</v>
      </c>
      <c r="U22" s="17" t="n">
        <v>39.42</v>
      </c>
      <c r="V22" s="17" t="n">
        <v>83.81999999999999</v>
      </c>
      <c r="W22" s="17" t="n">
        <v>78.83</v>
      </c>
      <c r="X22" s="17" t="n">
        <v>78.83</v>
      </c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IF(E23&lt;=$F$61,E23*$G$61,IF(E23&lt;=$F$62,E23*$G$62,IF(E23&lt;=$F$63,E23*$G$63,513.0125)))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IF(E24&lt;=$F$61,E24*$G$61,IF(E24&lt;=$F$62,E24*$G$62,IF(E24&lt;=$F$63,E24*$G$63,513.0125)))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39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IF(E25&lt;=$F$61,E25*$G$61,IF(E25&lt;=$F$62,E25*$G$62,IF(E25&lt;=$F$63,E25*$G$63,513.0125)))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.6" customHeight="1" thickBot="1">
      <c r="A27" s="36" t="inlineStr">
        <is>
          <t>MÉDIA DIÁRIA CHAPAS</t>
        </is>
      </c>
      <c r="B27" s="36" t="n"/>
      <c r="C27" s="37" t="n">
        <v>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" customHeight="1">
      <c r="A28" s="38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 t="n">
        <v>0</v>
      </c>
      <c r="Z28" s="33" t="n"/>
      <c r="AA28" s="34" t="n"/>
      <c r="AB28" s="35">
        <f>SUM(M28:Z28)</f>
        <v/>
      </c>
    </row>
    <row r="29" ht="20.4" customHeight="1">
      <c r="J29" s="10" t="n"/>
      <c r="K29" s="10" t="n"/>
      <c r="L29" s="10" t="n"/>
    </row>
    <row r="30" ht="20.4" customHeight="1">
      <c r="J30" s="10" t="n"/>
      <c r="K30" s="10" t="n"/>
      <c r="L30" s="10" t="n"/>
    </row>
    <row r="31" ht="20.4" customHeight="1"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 ht="20.4" customFormat="1" customHeight="1" s="59"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</row>
    <row r="33"/>
    <row r="34" ht="21.6" customHeight="1" thickBot="1">
      <c r="A34" s="38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 ht="21" customHeight="1" thickBot="1">
      <c r="A35" s="111" t="inlineStr">
        <is>
          <t>2ª QUINZENA</t>
        </is>
      </c>
      <c r="B35" s="107" t="n"/>
      <c r="C35" s="107" t="n"/>
      <c r="D35" s="107" t="n"/>
      <c r="E35" s="107" t="n"/>
      <c r="F35" s="107" t="n"/>
      <c r="G35" s="107" t="n"/>
      <c r="H35" s="107" t="n"/>
      <c r="I35" s="107" t="n"/>
      <c r="J35" s="107" t="n"/>
      <c r="K35" s="108" t="n"/>
      <c r="L35" s="4" t="n"/>
      <c r="M35" s="112" t="inlineStr">
        <is>
          <t xml:space="preserve">TOTAL </t>
        </is>
      </c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10" t="n"/>
    </row>
    <row r="36" ht="42.6" customHeight="1" thickBot="1">
      <c r="A36" s="40" t="inlineStr">
        <is>
          <t>LOCAL</t>
        </is>
      </c>
      <c r="B36" s="40" t="inlineStr">
        <is>
          <t>NOME</t>
        </is>
      </c>
      <c r="C36" s="41" t="inlineStr">
        <is>
          <t>DIÁRIA</t>
        </is>
      </c>
      <c r="D36" s="41" t="inlineStr">
        <is>
          <t>DSR</t>
        </is>
      </c>
      <c r="E36" s="41" t="inlineStr">
        <is>
          <t>TOTAL</t>
        </is>
      </c>
      <c r="F36" s="41" t="inlineStr">
        <is>
          <t>FÉRIAS</t>
        </is>
      </c>
      <c r="G36" s="41" t="inlineStr">
        <is>
          <t>13º SALÁRIO</t>
        </is>
      </c>
      <c r="H36" s="41" t="inlineStr">
        <is>
          <t>FGTS</t>
        </is>
      </c>
      <c r="I36" s="42" t="inlineStr">
        <is>
          <t>T. 1º Q.</t>
        </is>
      </c>
      <c r="J36" s="42" t="inlineStr">
        <is>
          <t>INSS 1º</t>
        </is>
      </c>
      <c r="K36" s="43" t="inlineStr">
        <is>
          <t>INSS</t>
        </is>
      </c>
      <c r="L36" s="9" t="n"/>
      <c r="M36" s="44" t="n">
        <v>16</v>
      </c>
      <c r="N36" s="44" t="n">
        <v>17</v>
      </c>
      <c r="O36" s="44" t="n">
        <v>18</v>
      </c>
      <c r="P36" s="44" t="n">
        <v>20</v>
      </c>
      <c r="Q36" s="44" t="n">
        <v>21</v>
      </c>
      <c r="R36" s="44" t="n">
        <v>22</v>
      </c>
      <c r="S36" s="44" t="n">
        <v>23</v>
      </c>
      <c r="T36" s="44" t="n">
        <v>24</v>
      </c>
      <c r="U36" s="44" t="n">
        <v>25</v>
      </c>
      <c r="V36" s="44" t="n">
        <v>27</v>
      </c>
      <c r="W36" s="44" t="n">
        <v>28</v>
      </c>
      <c r="X36" s="44" t="n">
        <v>29</v>
      </c>
      <c r="Y36" s="45" t="n">
        <v>30</v>
      </c>
      <c r="Z36" s="45" t="n">
        <v>31</v>
      </c>
      <c r="AA36" s="8" t="inlineStr">
        <is>
          <t>TOTAL</t>
        </is>
      </c>
      <c r="AB36" s="13" t="n"/>
    </row>
    <row r="37" ht="21" customHeight="1">
      <c r="A37" s="46" t="inlineStr">
        <is>
          <t>FRANCA</t>
        </is>
      </c>
      <c r="B37" s="15" t="inlineStr">
        <is>
          <t>CHAPA_01</t>
        </is>
      </c>
      <c r="C37" s="10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IF(E37&lt;=$F$65,E37*$G$65,IF(E37&lt;=$F$66,E37*$G$66,IF(E37&lt;=$F$67,E37*$G$67,513.0125)))</f>
        <v/>
      </c>
      <c r="J37" s="47">
        <f>IF(I8=0,0,VLOOKUP(B37,$B$6:$I$25,8,0))</f>
        <v/>
      </c>
      <c r="K37" s="48">
        <f>IF(E37+I37&lt;=#REF!,(E37+I37)*J69-J37,IF(E37+I37&lt;=#REF!,(E37+I37)*J70-J37,IF(E37+I37&lt;=$K$60,(E37+I37)*L75-J37,513.0125)))</f>
        <v/>
      </c>
      <c r="L37" s="9" t="n"/>
      <c r="M37" s="17" t="n">
        <v>78.84</v>
      </c>
      <c r="N37" s="17" t="n">
        <v>0</v>
      </c>
      <c r="O37" s="17" t="n">
        <v>15.76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49">
        <f>SUM(M37:Z37)</f>
        <v/>
      </c>
      <c r="AB37" s="13" t="n"/>
    </row>
    <row r="38" ht="21" customHeight="1">
      <c r="A38" s="46" t="inlineStr">
        <is>
          <t>FRANCA</t>
        </is>
      </c>
      <c r="B38" s="15" t="inlineStr">
        <is>
          <t>CHAPA_04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IF(E38&lt;=$F$65,E38*$G$65,IF(E38&lt;=$F$66,E38*$G$66,IF(E38&lt;=$F$67,E38*$G$67,513.0125)))</f>
        <v/>
      </c>
      <c r="J38" s="47">
        <f>IF(#REF!=0,0,VLOOKUP(B38,$B$6:$I$25,8,0))</f>
        <v/>
      </c>
      <c r="K38" s="48">
        <f>IF(E38+I38&lt;=#REF!,(E38+I38)*J70-J38,IF(E38+I38&lt;=#REF!,(E38+I38)*J71-J38,IF(E38+I38&lt;=$K$60,(E38+I38)*L76-J38,513.0125)))</f>
        <v/>
      </c>
      <c r="L38" s="9" t="n"/>
      <c r="M38" s="17" t="n">
        <v>0</v>
      </c>
      <c r="N38" s="17" t="n">
        <v>0</v>
      </c>
      <c r="O38" s="17" t="n">
        <v>0</v>
      </c>
      <c r="P38" s="17" t="n">
        <v>59.12</v>
      </c>
      <c r="Q38" s="17" t="n">
        <v>78.84</v>
      </c>
      <c r="R38" s="17" t="n">
        <v>78.84</v>
      </c>
      <c r="S38" s="17" t="n">
        <v>78.84</v>
      </c>
      <c r="T38" s="17" t="n">
        <v>78.84</v>
      </c>
      <c r="U38" s="17" t="n">
        <v>39.42</v>
      </c>
      <c r="V38" s="17" t="n">
        <v>78.83</v>
      </c>
      <c r="W38" s="17" t="n">
        <v>73.90000000000001</v>
      </c>
      <c r="X38" s="17" t="n">
        <v>78.84</v>
      </c>
      <c r="Y38" s="17" t="n">
        <v>134.21</v>
      </c>
      <c r="Z38" s="17" t="n">
        <v>78.84</v>
      </c>
      <c r="AA38" s="49">
        <f>SUM(M38:Z38)</f>
        <v/>
      </c>
      <c r="AB38" s="13" t="n"/>
    </row>
    <row r="39" ht="21" customHeight="1">
      <c r="A39" s="46" t="inlineStr">
        <is>
          <t>FRANCA</t>
        </is>
      </c>
      <c r="B39" s="22" t="inlineStr">
        <is>
          <t>CHAPA_06</t>
        </is>
      </c>
      <c r="C39" s="10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IF(E39&lt;=$F$65,E39*$G$65,IF(E39&lt;=$F$66,E39*$G$66,IF(E39&lt;=$F$67,E39*$G$67,513.0125)))</f>
        <v/>
      </c>
      <c r="J39" s="47">
        <f>IF(I9=0,0,VLOOKUP(B39,$B$6:$I$25,8,0))</f>
        <v/>
      </c>
      <c r="K39" s="48">
        <f>IF(E39+I39&lt;=#REF!,(E39+I39)*J71-J39,IF(E39+I39&lt;=#REF!,(E39+I39)*J72-J39,IF(E39+I39&lt;=$K$60,(E39+I39)*L77-J39,513.0125)))</f>
        <v/>
      </c>
      <c r="L39" s="9" t="n"/>
      <c r="M39" s="17" t="n">
        <v>78.84</v>
      </c>
      <c r="N39" s="17" t="n">
        <v>78.84</v>
      </c>
      <c r="O39" s="17" t="n">
        <v>78.84</v>
      </c>
      <c r="P39" s="17" t="n">
        <v>78.84</v>
      </c>
      <c r="Q39" s="17" t="n">
        <v>78.84</v>
      </c>
      <c r="R39" s="17" t="n">
        <v>78.84</v>
      </c>
      <c r="S39" s="17" t="n">
        <v>78.84</v>
      </c>
      <c r="T39" s="17" t="n">
        <v>78.84</v>
      </c>
      <c r="U39" s="17" t="n">
        <v>39.42</v>
      </c>
      <c r="V39" s="17" t="n">
        <v>0</v>
      </c>
      <c r="W39" s="17" t="n">
        <v>78.83</v>
      </c>
      <c r="X39" s="17" t="n">
        <v>78.84</v>
      </c>
      <c r="Y39" s="17" t="n">
        <v>134.21</v>
      </c>
      <c r="Z39" s="17" t="n">
        <v>78.84</v>
      </c>
      <c r="AA39" s="49">
        <f>SUM(M39:Z39)</f>
        <v/>
      </c>
      <c r="AB39" s="13" t="n"/>
    </row>
    <row r="40" ht="21" customHeight="1">
      <c r="A40" s="46" t="inlineStr">
        <is>
          <t>FRANCA</t>
        </is>
      </c>
      <c r="B40" s="15" t="inlineStr">
        <is>
          <t>CHAPA_10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IF(E40&lt;=$F$65,E40*$G$65,IF(E40&lt;=$F$66,E40*$G$66,IF(E40&lt;=$F$67,E40*$G$67,513.0125)))</f>
        <v/>
      </c>
      <c r="J40" s="47">
        <f>IF(I10=0,0,VLOOKUP(B40,$B$6:$I$25,8,0))</f>
        <v/>
      </c>
      <c r="K40" s="48">
        <f>IF(E40+I40&lt;=#REF!,(E40+I40)*J72-J40,IF(E40+I40&lt;=#REF!,(E40+I40)*J73-J40,IF(E40+I40&lt;=$K$60,(E40+I40)*L78-J40,513.0125)))</f>
        <v/>
      </c>
      <c r="L40" s="9" t="n"/>
      <c r="M40" s="17" t="n">
        <v>78.84</v>
      </c>
      <c r="N40" s="17" t="n">
        <v>78.84</v>
      </c>
      <c r="O40" s="17" t="n">
        <v>39.42</v>
      </c>
      <c r="P40" s="17" t="n">
        <v>39.41</v>
      </c>
      <c r="Q40" s="17" t="n">
        <v>0</v>
      </c>
      <c r="R40" s="17" t="n">
        <v>78.84</v>
      </c>
      <c r="S40" s="17" t="n">
        <v>78.84</v>
      </c>
      <c r="T40" s="17" t="n">
        <v>78.84</v>
      </c>
      <c r="U40" s="17" t="n">
        <v>31.54</v>
      </c>
      <c r="V40" s="17" t="n">
        <v>78.83</v>
      </c>
      <c r="W40" s="17" t="n">
        <v>39.41</v>
      </c>
      <c r="X40" s="17" t="n">
        <v>78.84</v>
      </c>
      <c r="Y40" s="17" t="n">
        <v>106.47</v>
      </c>
      <c r="Z40" s="17" t="n">
        <v>0</v>
      </c>
      <c r="AA40" s="49">
        <f>SUM(M40:Z40)</f>
        <v/>
      </c>
      <c r="AB40" s="13" t="n"/>
    </row>
    <row r="41" ht="21" customHeight="1">
      <c r="A41" s="46" t="inlineStr">
        <is>
          <t>FRANCA</t>
        </is>
      </c>
      <c r="B41" s="4" t="inlineStr">
        <is>
          <t>CHAPA_11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IF(E41&lt;=$F$65,E41*$G$65,IF(E41&lt;=$F$66,E41*$G$66,IF(E41&lt;=$F$67,E41*$G$67,513.0125)))</f>
        <v/>
      </c>
      <c r="J41" s="47">
        <f>IF(#REF!=0,0,VLOOKUP(B41,$B$6:$I$25,8,0))</f>
        <v/>
      </c>
      <c r="K41" s="48">
        <f>IF(E41+I41&lt;=#REF!,(E41+I41)*J73-J41,IF(E41+I41&lt;=#REF!,(E41+I41)*J74-J41,IF(E41+I41&lt;=$K$60,(E41+I41)*L79-J41,513.0125)))</f>
        <v/>
      </c>
      <c r="L41" s="9" t="n"/>
      <c r="M41" s="17" t="n">
        <v>78.84</v>
      </c>
      <c r="N41" s="17" t="n">
        <v>78.84</v>
      </c>
      <c r="O41" s="17" t="n">
        <v>78.84</v>
      </c>
      <c r="P41" s="17" t="n">
        <v>78.84</v>
      </c>
      <c r="Q41" s="17" t="n">
        <v>78.84</v>
      </c>
      <c r="R41" s="17" t="n">
        <v>78.84</v>
      </c>
      <c r="S41" s="17" t="n">
        <v>78.84</v>
      </c>
      <c r="T41" s="17" t="n">
        <v>0</v>
      </c>
      <c r="U41" s="17" t="n">
        <v>31.54</v>
      </c>
      <c r="V41" s="17" t="n">
        <v>78.83</v>
      </c>
      <c r="W41" s="17" t="n">
        <v>68.97</v>
      </c>
      <c r="X41" s="17" t="n">
        <v>78.84</v>
      </c>
      <c r="Y41" s="17" t="n">
        <v>106.47</v>
      </c>
      <c r="Z41" s="17" t="n">
        <v>78.84</v>
      </c>
      <c r="AA41" s="49">
        <f>SUM(M41:Z41)</f>
        <v/>
      </c>
      <c r="AB41" s="13" t="n"/>
    </row>
    <row r="42" ht="21" customHeight="1">
      <c r="A42" s="46" t="inlineStr">
        <is>
          <t>FRANCA</t>
        </is>
      </c>
      <c r="B42" s="24" t="inlineStr">
        <is>
          <t>CHAPA_15</t>
        </is>
      </c>
      <c r="C42" s="10">
        <f>AA42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IF(E42&lt;=$F$65,E42*$G$65,IF(E42&lt;=$F$66,E42*$G$66,IF(E42&lt;=$F$67,E42*$G$67,513.0125)))</f>
        <v/>
      </c>
      <c r="J42" s="47">
        <f>IF(I11=0,0,VLOOKUP(B42,$B$6:$I$25,8,0))</f>
        <v/>
      </c>
      <c r="K42" s="48">
        <f>IF(E42+I42&lt;=#REF!,(E42+I42)*J74-J42,IF(E42+I42&lt;=#REF!,(E42+I42)*J75-J42,IF(E42+I42&lt;=$K$60,(E42+I42)*L80-J42,513.0125)))</f>
        <v/>
      </c>
      <c r="L42" s="9" t="n"/>
      <c r="M42" s="17" t="n">
        <v>78.84</v>
      </c>
      <c r="N42" s="17" t="n">
        <v>78.84</v>
      </c>
      <c r="O42" s="17" t="n">
        <v>78.84</v>
      </c>
      <c r="P42" s="17" t="n">
        <v>78.84</v>
      </c>
      <c r="Q42" s="17" t="n">
        <v>78.84</v>
      </c>
      <c r="R42" s="17" t="n">
        <v>78.84</v>
      </c>
      <c r="S42" s="17" t="n">
        <v>78.84</v>
      </c>
      <c r="T42" s="17" t="n">
        <v>78.84</v>
      </c>
      <c r="U42" s="17" t="n">
        <v>39.42</v>
      </c>
      <c r="V42" s="17" t="n">
        <v>78.83</v>
      </c>
      <c r="W42" s="17" t="n">
        <v>78.83</v>
      </c>
      <c r="X42" s="17" t="n">
        <v>78.84</v>
      </c>
      <c r="Y42" s="17" t="n">
        <v>134.21</v>
      </c>
      <c r="Z42" s="17" t="n">
        <v>78.84</v>
      </c>
      <c r="AA42" s="49">
        <f>SUM(M42:Z42)</f>
        <v/>
      </c>
      <c r="AB42" s="13" t="n"/>
    </row>
    <row r="43" ht="21" customHeight="1">
      <c r="A43" s="46" t="inlineStr">
        <is>
          <t>FRANCA</t>
        </is>
      </c>
      <c r="B43" s="22" t="inlineStr">
        <is>
          <t>CHAPA_16</t>
        </is>
      </c>
      <c r="C43" s="10">
        <f>AA43</f>
        <v/>
      </c>
      <c r="D43" s="10">
        <f>C43*0.1818</f>
        <v/>
      </c>
      <c r="E43" s="10">
        <f>SUM(C43:D43)</f>
        <v/>
      </c>
      <c r="F43" s="10">
        <f>E43*0.1111</f>
        <v/>
      </c>
      <c r="G43" s="10">
        <f>E43*0.083</f>
        <v/>
      </c>
      <c r="H43" s="10">
        <f>SUM(E43:G43)*0.08</f>
        <v/>
      </c>
      <c r="I43" s="10">
        <f>IF(E43&lt;=$F$65,E43*$G$65,IF(E43&lt;=$F$66,E43*$G$66,IF(E43&lt;=$F$67,E43*$G$67,513.0125)))</f>
        <v/>
      </c>
      <c r="J43" s="47">
        <f>IF(I12=0,0,VLOOKUP(B43,$B$6:$I$25,8,0))</f>
        <v/>
      </c>
      <c r="K43" s="48">
        <f>IF(E43+I43&lt;=#REF!,(E43+I43)*J75-J43,IF(E43+I43&lt;=#REF!,(E43+I43)*J76-J43,IF(E43+I43&lt;=$K$60,(E43+I43)*L81-J43,513.0125)))</f>
        <v/>
      </c>
      <c r="L43" s="9" t="n"/>
      <c r="M43" s="17" t="n">
        <v>78.84</v>
      </c>
      <c r="N43" s="17" t="n">
        <v>78.84</v>
      </c>
      <c r="O43" s="17" t="n">
        <v>73.95999999999999</v>
      </c>
      <c r="P43" s="17" t="n">
        <v>78.84</v>
      </c>
      <c r="Q43" s="17" t="n">
        <v>78.84</v>
      </c>
      <c r="R43" s="17" t="n">
        <v>78.84</v>
      </c>
      <c r="S43" s="17" t="n">
        <v>78.84</v>
      </c>
      <c r="T43" s="17" t="n">
        <v>78.84</v>
      </c>
      <c r="U43" s="17" t="n">
        <v>39.42</v>
      </c>
      <c r="V43" s="17" t="n">
        <v>0</v>
      </c>
      <c r="W43" s="17" t="n">
        <v>0</v>
      </c>
      <c r="X43" s="17" t="n">
        <v>78.84</v>
      </c>
      <c r="Y43" s="17" t="n">
        <v>106.47</v>
      </c>
      <c r="Z43" s="17" t="n">
        <v>0</v>
      </c>
      <c r="AA43" s="49">
        <f>SUM(M43:Z43)</f>
        <v/>
      </c>
      <c r="AB43" s="13" t="n"/>
    </row>
    <row r="44" ht="21" customHeight="1">
      <c r="A44" s="46" t="inlineStr">
        <is>
          <t>FRANCA</t>
        </is>
      </c>
      <c r="B44" s="15" t="inlineStr">
        <is>
          <t>CHAPA_20</t>
        </is>
      </c>
      <c r="C44" s="50">
        <f>AA44</f>
        <v/>
      </c>
      <c r="D44" s="50">
        <f>C44*0.1818</f>
        <v/>
      </c>
      <c r="E44" s="50">
        <f>SUM(C44:D44)</f>
        <v/>
      </c>
      <c r="F44" s="50">
        <f>E44*0.1111</f>
        <v/>
      </c>
      <c r="G44" s="50">
        <f>E44*0.083</f>
        <v/>
      </c>
      <c r="H44" s="50">
        <f>SUM(E44:G44)*0.08</f>
        <v/>
      </c>
      <c r="I44" s="47">
        <f>AA13</f>
        <v/>
      </c>
      <c r="J44" s="47">
        <f>IF(I13=0,0,VLOOKUP(B44,$B$6:$I$25,8,0))</f>
        <v/>
      </c>
      <c r="K44" s="48">
        <f>IF(E44+I44&lt;=#REF!,(E44+I44)*J76-J44,IF(E44+I44&lt;=#REF!,(E44+I44)*J77-J44,IF(E44+I44&lt;=$K$60,(E44+I44)*L82-J44,513.0125)))</f>
        <v/>
      </c>
      <c r="L44" s="9" t="n"/>
      <c r="M44" s="21" t="n">
        <v>78.84</v>
      </c>
      <c r="N44" s="21" t="n">
        <v>78.84</v>
      </c>
      <c r="O44" s="21" t="n">
        <v>39.42</v>
      </c>
      <c r="P44" s="21" t="n">
        <v>78.84</v>
      </c>
      <c r="Q44" s="21" t="n">
        <v>78.84</v>
      </c>
      <c r="R44" s="17" t="n">
        <v>78.84</v>
      </c>
      <c r="S44" s="21" t="n">
        <v>78.84</v>
      </c>
      <c r="T44" s="21" t="n">
        <v>78.84</v>
      </c>
      <c r="U44" s="21" t="n">
        <v>39.42</v>
      </c>
      <c r="V44" s="17" t="n">
        <v>0</v>
      </c>
      <c r="W44" s="21" t="n">
        <v>78.84</v>
      </c>
      <c r="X44" s="21" t="n">
        <v>78.84</v>
      </c>
      <c r="Y44" s="21" t="n">
        <v>78.84</v>
      </c>
      <c r="Z44" s="21" t="n">
        <v>78.84</v>
      </c>
      <c r="AA44" s="49">
        <f>SUM(M44:Z44)</f>
        <v/>
      </c>
      <c r="AB44" s="13" t="n"/>
    </row>
    <row r="45" ht="21" customHeight="1">
      <c r="A45" s="46" t="inlineStr">
        <is>
          <t>FRANCA</t>
        </is>
      </c>
      <c r="B45" s="15" t="inlineStr">
        <is>
          <t>CHAPA_26</t>
        </is>
      </c>
      <c r="C45" s="50">
        <f>AA45</f>
        <v/>
      </c>
      <c r="D45" s="50">
        <f>C45*0.1818</f>
        <v/>
      </c>
      <c r="E45" s="50">
        <f>SUM(C45:D45)</f>
        <v/>
      </c>
      <c r="F45" s="50">
        <f>E45*0.1111</f>
        <v/>
      </c>
      <c r="G45" s="50">
        <f>E45*0.083</f>
        <v/>
      </c>
      <c r="H45" s="50">
        <f>SUM(E45:G45)*0.08</f>
        <v/>
      </c>
      <c r="I45" s="47">
        <f>AA14</f>
        <v/>
      </c>
      <c r="J45" s="47">
        <f>IF(I14=0,0,VLOOKUP(#REF!,$B$6:$I$25,8,0))</f>
        <v/>
      </c>
      <c r="K45" s="48">
        <f>IF(E45+I45&lt;=#REF!,(E45+I45)*J77-J45,IF(E45+I45&lt;=#REF!,(E45+I45)*J78-J45,IF(E45+I45&lt;=$K$60,(E45+I45)*L83-J45,513.0125)))</f>
        <v/>
      </c>
      <c r="L45" s="9" t="n"/>
      <c r="M45" s="21" t="n">
        <v>78.83</v>
      </c>
      <c r="N45" s="21" t="n">
        <v>78.83</v>
      </c>
      <c r="O45" s="21" t="n">
        <v>39.42</v>
      </c>
      <c r="P45" s="21" t="n">
        <v>78.83</v>
      </c>
      <c r="Q45" s="21" t="n">
        <v>78.83</v>
      </c>
      <c r="R45" s="21" t="n">
        <v>78.84</v>
      </c>
      <c r="S45" s="21" t="n">
        <v>78.83</v>
      </c>
      <c r="T45" s="21" t="n">
        <v>78.83</v>
      </c>
      <c r="U45" s="21" t="n">
        <v>39.42</v>
      </c>
      <c r="V45" s="21" t="n">
        <v>78.84</v>
      </c>
      <c r="W45" s="21" t="n">
        <v>78.83</v>
      </c>
      <c r="X45" s="21" t="n">
        <v>78.83</v>
      </c>
      <c r="Y45" s="21" t="n">
        <v>78.83</v>
      </c>
      <c r="Z45" s="21" t="n">
        <v>78.83</v>
      </c>
      <c r="AA45" s="49">
        <f>SUM(M45:Z45)</f>
        <v/>
      </c>
      <c r="AB45" s="13" t="n"/>
    </row>
    <row r="46" ht="21" customHeight="1">
      <c r="A46" s="46" t="inlineStr">
        <is>
          <t>FRANCA</t>
        </is>
      </c>
      <c r="B46" s="24" t="inlineStr">
        <is>
          <t>CHAPA_32</t>
        </is>
      </c>
      <c r="C46" s="50">
        <f>AA46</f>
        <v/>
      </c>
      <c r="D46" s="50">
        <f>C46*0.1818</f>
        <v/>
      </c>
      <c r="E46" s="50">
        <f>SUM(C46:D46)</f>
        <v/>
      </c>
      <c r="F46" s="50">
        <f>E46*0.1111</f>
        <v/>
      </c>
      <c r="G46" s="50">
        <f>E46*0.083</f>
        <v/>
      </c>
      <c r="H46" s="50">
        <f>SUM(E46:G46)*0.08</f>
        <v/>
      </c>
      <c r="I46" s="47">
        <f>AA15</f>
        <v/>
      </c>
      <c r="J46" s="47">
        <f>IF(I15=0,0,VLOOKUP(B45,$B$6:$I$25,8,0))</f>
        <v/>
      </c>
      <c r="K46" s="48">
        <f>IF(E46+I46&lt;=#REF!,(E46+I46)*J78-J46,IF(E46+I46&lt;=#REF!,(E46+I46)*J79-J46,IF(E46+I46&lt;=$K$60,(E46+I46)*L84-J46,513.0125)))</f>
        <v/>
      </c>
      <c r="L46" s="9" t="n"/>
      <c r="M46" s="17" t="n">
        <v>78.84</v>
      </c>
      <c r="N46" s="17" t="n">
        <v>78.84</v>
      </c>
      <c r="O46" s="17" t="n">
        <v>78.84</v>
      </c>
      <c r="P46" s="17" t="n">
        <v>78.84</v>
      </c>
      <c r="Q46" s="17" t="n">
        <v>78.84</v>
      </c>
      <c r="R46" s="17" t="n">
        <v>78.84</v>
      </c>
      <c r="S46" s="17" t="n">
        <v>78.84</v>
      </c>
      <c r="T46" s="17" t="n">
        <v>78.84</v>
      </c>
      <c r="U46" s="17" t="n">
        <v>39.42</v>
      </c>
      <c r="V46" s="17" t="n">
        <v>78.83</v>
      </c>
      <c r="W46" s="17" t="n">
        <v>78.83</v>
      </c>
      <c r="X46" s="17" t="n">
        <v>78.83</v>
      </c>
      <c r="Y46" s="17" t="n">
        <v>39.41</v>
      </c>
      <c r="Z46" s="17" t="n">
        <v>0</v>
      </c>
      <c r="AA46" s="49">
        <f>SUM(M46:Z46)</f>
        <v/>
      </c>
      <c r="AB46" s="13" t="n"/>
    </row>
    <row r="47" ht="21" customHeight="1">
      <c r="A47" s="46" t="inlineStr">
        <is>
          <t>FRANCA</t>
        </is>
      </c>
      <c r="B47" s="22" t="inlineStr">
        <is>
          <t>CHAPA_36</t>
        </is>
      </c>
      <c r="C47" s="50">
        <f>AA47</f>
        <v/>
      </c>
      <c r="D47" s="50">
        <f>C47*0.1818</f>
        <v/>
      </c>
      <c r="E47" s="50">
        <f>SUM(C47:D47)</f>
        <v/>
      </c>
      <c r="F47" s="50">
        <f>E47*0.1111</f>
        <v/>
      </c>
      <c r="G47" s="50">
        <f>E47*0.083</f>
        <v/>
      </c>
      <c r="H47" s="50">
        <f>SUM(E47:G47)*0.08</f>
        <v/>
      </c>
      <c r="I47" s="47">
        <f>AA16</f>
        <v/>
      </c>
      <c r="J47" s="47">
        <f>IF(I16=0,0,VLOOKUP(B46,$B$6:$I$25,8,0))</f>
        <v/>
      </c>
      <c r="K47" s="48">
        <f>IF(E47+I47&lt;=#REF!,(E47+I47)*J79-J47,IF(E47+I47&lt;=#REF!,(E47+I47)*J80-J47,IF(E47+I47&lt;=$K$60,(E47+I47)*L85-J47,513.0125)))</f>
        <v/>
      </c>
      <c r="L47" s="9" t="n"/>
      <c r="M47" s="17" t="n">
        <v>78.83</v>
      </c>
      <c r="N47" s="17" t="n">
        <v>0</v>
      </c>
      <c r="O47" s="17" t="n">
        <v>73.95999999999999</v>
      </c>
      <c r="P47" s="17" t="n">
        <v>78.84</v>
      </c>
      <c r="Q47" s="17" t="n">
        <v>78.83</v>
      </c>
      <c r="R47" s="17" t="n">
        <v>78.83</v>
      </c>
      <c r="S47" s="17" t="n">
        <v>78.83</v>
      </c>
      <c r="T47" s="17" t="n">
        <v>78.83</v>
      </c>
      <c r="U47" s="17" t="n">
        <v>39.42</v>
      </c>
      <c r="V47" s="17" t="n">
        <v>59.12</v>
      </c>
      <c r="W47" s="17" t="n">
        <v>78.83</v>
      </c>
      <c r="X47" s="17" t="n">
        <v>78.83</v>
      </c>
      <c r="Y47" s="17" t="n">
        <v>134.21</v>
      </c>
      <c r="Z47" s="17" t="n">
        <v>78.83</v>
      </c>
      <c r="AA47" s="49">
        <f>SUM(M47:Z47)</f>
        <v/>
      </c>
      <c r="AB47" s="13" t="n"/>
    </row>
    <row r="48" ht="21" customHeight="1">
      <c r="A48" s="46" t="inlineStr">
        <is>
          <t>FRANCA</t>
        </is>
      </c>
      <c r="B48" s="15" t="inlineStr">
        <is>
          <t>CHAPA_38</t>
        </is>
      </c>
      <c r="C48" s="50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IF(I17=0,0,VLOOKUP(B47,$B$6:$I$25,8,0))</f>
        <v/>
      </c>
      <c r="K48" s="48">
        <f>IF(E48+I48&lt;=#REF!,(E48+I48)*J80-J48,IF(E48+I48&lt;=#REF!,(E48+I48)*J81-J48,IF(E48+I48&lt;=$K$60,(E48+I48)*L86-J48,513.0125)))</f>
        <v/>
      </c>
      <c r="L48" s="9" t="n"/>
      <c r="M48" s="17" t="n">
        <v>78.83</v>
      </c>
      <c r="N48" s="17" t="n">
        <v>39.41</v>
      </c>
      <c r="O48" s="17" t="n">
        <v>39.42</v>
      </c>
      <c r="P48" s="17" t="n">
        <v>78.83</v>
      </c>
      <c r="Q48" s="17" t="n">
        <v>78.83</v>
      </c>
      <c r="R48" s="17" t="n">
        <v>78.83</v>
      </c>
      <c r="S48" s="17" t="n">
        <v>78.83</v>
      </c>
      <c r="T48" s="17" t="n">
        <v>78.83</v>
      </c>
      <c r="U48" s="17" t="n">
        <v>39.42</v>
      </c>
      <c r="V48" s="17" t="n">
        <v>59.12</v>
      </c>
      <c r="W48" s="17" t="n">
        <v>78.83</v>
      </c>
      <c r="X48" s="17" t="n">
        <v>78.83</v>
      </c>
      <c r="Y48" s="17" t="n">
        <v>134.21</v>
      </c>
      <c r="Z48" s="17" t="n">
        <v>78.83</v>
      </c>
      <c r="AA48" s="49">
        <f>SUM(M48:Z48)</f>
        <v/>
      </c>
      <c r="AB48" s="13" t="n"/>
    </row>
    <row r="49" ht="21" customHeight="1">
      <c r="A49" s="46" t="inlineStr">
        <is>
          <t>FRANCA</t>
        </is>
      </c>
      <c r="B49" s="15" t="inlineStr">
        <is>
          <t>CHAPA_40</t>
        </is>
      </c>
      <c r="C49" s="50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IF(I18=0,0,VLOOKUP(B49,$B$6:$I$25,8,0))</f>
        <v/>
      </c>
      <c r="K49" s="48">
        <f>IF(E49+I49&lt;=#REF!,(E49+I49)*J81-J49,IF(E49+I49&lt;=#REF!,(E49+I49)*J82-J49,IF(E49+I49&lt;=$K$60,(E49+I49)*L87-J49,513.0125)))</f>
        <v/>
      </c>
      <c r="L49" s="9" t="n"/>
      <c r="M49" s="17" t="n">
        <v>39.41</v>
      </c>
      <c r="N49" s="17" t="n">
        <v>78.83</v>
      </c>
      <c r="O49" s="17" t="n">
        <v>39.42</v>
      </c>
      <c r="P49" s="17" t="n">
        <v>78.83</v>
      </c>
      <c r="Q49" s="17" t="n">
        <v>78.83</v>
      </c>
      <c r="R49" s="17" t="n">
        <v>78.83</v>
      </c>
      <c r="S49" s="17" t="n">
        <v>78.83</v>
      </c>
      <c r="T49" s="17" t="n">
        <v>78.83</v>
      </c>
      <c r="U49" s="17" t="n">
        <v>39.42</v>
      </c>
      <c r="V49" s="17" t="n">
        <v>73.90000000000001</v>
      </c>
      <c r="W49" s="17" t="n">
        <v>0</v>
      </c>
      <c r="X49" s="17" t="n">
        <v>78.83</v>
      </c>
      <c r="Y49" s="17" t="n">
        <v>106.47</v>
      </c>
      <c r="Z49" s="17" t="n">
        <v>78.83</v>
      </c>
      <c r="AA49" s="49">
        <f>SUM(M49:Z49)</f>
        <v/>
      </c>
      <c r="AB49" s="13" t="n"/>
    </row>
    <row r="50" ht="21" customHeight="1">
      <c r="A50" s="46" t="inlineStr">
        <is>
          <t>FRANCA</t>
        </is>
      </c>
      <c r="B50" s="15" t="inlineStr">
        <is>
          <t>CHAPA_41</t>
        </is>
      </c>
      <c r="C50" s="50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IF(I19=0,0,VLOOKUP(B50,$B$6:$I$25,8,0))</f>
        <v/>
      </c>
      <c r="K50" s="48">
        <f>IF(E50+I50&lt;=#REF!,(E50+I50)*J82-J50,IF(E50+I50&lt;=#REF!,(E50+I50)*J83-J50,IF(E50+I50&lt;=$K$60,(E50+I50)*L88-J50,513.0125)))</f>
        <v/>
      </c>
      <c r="L50" s="9" t="n"/>
      <c r="M50" s="17" t="n">
        <v>78.83</v>
      </c>
      <c r="N50" s="17" t="n">
        <v>78.83</v>
      </c>
      <c r="O50" s="17" t="n">
        <v>78.83</v>
      </c>
      <c r="P50" s="17" t="n">
        <v>78.83</v>
      </c>
      <c r="Q50" s="17" t="n">
        <v>78.83</v>
      </c>
      <c r="R50" s="17" t="n">
        <v>78.83</v>
      </c>
      <c r="S50" s="17" t="n">
        <v>78.83</v>
      </c>
      <c r="T50" s="17" t="n">
        <v>78.83</v>
      </c>
      <c r="U50" s="17" t="n">
        <v>39.42</v>
      </c>
      <c r="V50" s="17" t="n">
        <v>78.83</v>
      </c>
      <c r="W50" s="17" t="n">
        <v>0</v>
      </c>
      <c r="X50" s="17" t="n">
        <v>0</v>
      </c>
      <c r="Y50" s="17" t="n">
        <v>0</v>
      </c>
      <c r="Z50" s="17" t="n">
        <v>0</v>
      </c>
      <c r="AA50" s="49">
        <f>SUM(M50:Z50)</f>
        <v/>
      </c>
      <c r="AB50" s="13" t="n"/>
    </row>
    <row r="51" ht="21" customHeight="1">
      <c r="A51" s="46" t="inlineStr">
        <is>
          <t>FRANCA</t>
        </is>
      </c>
      <c r="B51" s="15" t="n"/>
      <c r="C51" s="50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IF(I20=0,0,VLOOKUP(B51,$B$6:$I$25,8,0))</f>
        <v/>
      </c>
      <c r="K51" s="48">
        <f>IF(E51+I51&lt;=#REF!,(E51+I51)*J83-J51,IF(E51+I51&lt;=#REF!,(E51+I51)*J84-J51,IF(E51+I51&lt;=$K$60,(E51+I51)*L89-J51,513.0125)))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49">
        <f>SUM(M51:Z51)</f>
        <v/>
      </c>
      <c r="AB51" s="13" t="n"/>
    </row>
    <row r="52" ht="21" customHeight="1">
      <c r="A52" s="46" t="inlineStr">
        <is>
          <t>FRANCA</t>
        </is>
      </c>
      <c r="B52" s="15" t="n"/>
      <c r="C52" s="50">
        <f>AA52</f>
        <v/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IF(I21=0,0,VLOOKUP(B52,$B$6:$I$25,8,0))</f>
        <v/>
      </c>
      <c r="K52" s="48">
        <f>IF(E52+I52&lt;=#REF!,(E52+I52)*J84-J52,IF(E52+I52&lt;=#REF!,(E52+I52)*J85-J52,IF(E52+I52&lt;=$K$60,(E52+I52)*L90-J52,513.0125)))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51" t="n"/>
      <c r="AA52" s="49">
        <f>SUM(M52:Z52)</f>
        <v/>
      </c>
      <c r="AB52" s="13" t="n"/>
    </row>
    <row r="53" ht="21" customHeight="1">
      <c r="A53" s="46" t="inlineStr">
        <is>
          <t>FRANCA</t>
        </is>
      </c>
      <c r="B53" s="15" t="n"/>
      <c r="C53" s="50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IF(E53+I53&lt;=#REF!,(E53+I53)*J85-J53,IF(E53+I53&lt;=#REF!,(E53+I53)*J86-J53,IF(E53+I53&lt;=$K$60,(E53+I53)*L91-J53,513.0125)))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51" t="n"/>
      <c r="AA53" s="49">
        <f>SUM(M53:Z53)</f>
        <v/>
      </c>
      <c r="AB53" s="13" t="n"/>
    </row>
    <row r="54" ht="21" customHeight="1">
      <c r="A54" s="46" t="inlineStr">
        <is>
          <t>FRANCA</t>
        </is>
      </c>
      <c r="B54" s="15" t="n"/>
      <c r="C54" s="50">
        <f>AA54</f>
        <v/>
      </c>
      <c r="D54" s="50">
        <f>C54*0.1818</f>
        <v/>
      </c>
      <c r="E54" s="50">
        <f>SUM(C54:D54)</f>
        <v/>
      </c>
      <c r="F54" s="50">
        <f>E54*0.1111</f>
        <v/>
      </c>
      <c r="G54" s="50">
        <f>E54*0.083</f>
        <v/>
      </c>
      <c r="H54" s="50">
        <f>SUM(E54:G54)*0.08</f>
        <v/>
      </c>
      <c r="I54" s="47">
        <f>AA23</f>
        <v/>
      </c>
      <c r="J54" s="47">
        <f>IF(I23=0,0,VLOOKUP(B54,$B$6:$I$25,8,0))</f>
        <v/>
      </c>
      <c r="K54" s="48">
        <f>IF(E54+I54&lt;=#REF!,(E54+I54)*J86-J54,IF(E54+I54&lt;=#REF!,(E54+I54)*J87-J54,IF(E54+I54&lt;=$K$60,(E54+I54)*L92-J54,513.0125)))</f>
        <v/>
      </c>
      <c r="L54" s="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51" t="n"/>
      <c r="AA54" s="49">
        <f>SUM(M54:Z54)</f>
        <v/>
      </c>
      <c r="AB54" s="13" t="n"/>
    </row>
    <row r="55" ht="21" customHeight="1">
      <c r="A55" s="46" t="inlineStr">
        <is>
          <t>FRANCA</t>
        </is>
      </c>
      <c r="B55" s="15" t="n"/>
      <c r="C55" s="50">
        <f>AA55</f>
        <v/>
      </c>
      <c r="D55" s="50">
        <f>C55*0.1818</f>
        <v/>
      </c>
      <c r="E55" s="50">
        <f>SUM(C55:D55)</f>
        <v/>
      </c>
      <c r="F55" s="50">
        <f>E55*0.1111</f>
        <v/>
      </c>
      <c r="G55" s="50">
        <f>E55*0.083</f>
        <v/>
      </c>
      <c r="H55" s="50">
        <f>SUM(E55:G55)*0.08</f>
        <v/>
      </c>
      <c r="I55" s="47">
        <f>AA24</f>
        <v/>
      </c>
      <c r="J55" s="47">
        <f>IF(I24=0,0,VLOOKUP(B55,$B$6:$I$25,8,0))</f>
        <v/>
      </c>
      <c r="K55" s="48">
        <f>IF(E55+I55&lt;=#REF!,(E55+I55)*J87-J55,IF(E55+I55&lt;=#REF!,(E55+I55)*J88-J55,IF(E55+I55&lt;=$K$60,(E55+I55)*L93-J55,513.0125)))</f>
        <v/>
      </c>
      <c r="L55" s="9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51" t="n"/>
      <c r="Z55" s="51" t="n"/>
      <c r="AA55" s="49">
        <f>SUM(M55:Z55)</f>
        <v/>
      </c>
      <c r="AB55" s="13" t="n"/>
    </row>
    <row r="56" ht="21" customHeight="1">
      <c r="A56" s="46" t="inlineStr">
        <is>
          <t>FRANCA</t>
        </is>
      </c>
      <c r="B56" s="15" t="n"/>
      <c r="C56" s="50">
        <f>AA56</f>
        <v/>
      </c>
      <c r="D56" s="50">
        <f>C56*0.1818</f>
        <v/>
      </c>
      <c r="E56" s="50">
        <f>SUM(C56:D56)</f>
        <v/>
      </c>
      <c r="F56" s="50">
        <f>E56*0.1111</f>
        <v/>
      </c>
      <c r="G56" s="50">
        <f>E56*0.083</f>
        <v/>
      </c>
      <c r="H56" s="50">
        <f>SUM(E56:G56)*0.08</f>
        <v/>
      </c>
      <c r="I56" s="47">
        <f>AA25</f>
        <v/>
      </c>
      <c r="J56" s="47">
        <f>IF(I25=0,0,VLOOKUP(B56,$B$6:$I$25,8,0))</f>
        <v/>
      </c>
      <c r="K56" s="48">
        <f>IF(E56+I56&lt;=#REF!,(E56+I56)*J88-J56,IF(E56+I56&lt;=#REF!,(E56+I56)*J89-J56,IF(E56+I56&lt;=$K$60,(E56+I56)*L94-J56,513.0125)))</f>
        <v/>
      </c>
      <c r="L56" s="9" t="n"/>
      <c r="M56" s="17" t="n"/>
      <c r="N56" s="52" t="n"/>
      <c r="O56" s="52" t="n"/>
      <c r="P56" s="17" t="n"/>
      <c r="Q56" s="52" t="n"/>
      <c r="R56" s="17" t="n"/>
      <c r="S56" s="52" t="n"/>
      <c r="T56" s="17" t="n"/>
      <c r="U56" s="17" t="n"/>
      <c r="V56" s="52" t="n"/>
      <c r="W56" s="51" t="n"/>
      <c r="X56" s="51" t="n"/>
      <c r="Y56" s="51" t="n"/>
      <c r="Z56" s="51" t="n"/>
      <c r="AA56" s="49">
        <f>SUM(M56:Z56)</f>
        <v/>
      </c>
      <c r="AB56" s="13" t="n"/>
    </row>
    <row r="57" ht="21" customHeight="1">
      <c r="A57" s="46" t="inlineStr">
        <is>
          <t>FRANCA</t>
        </is>
      </c>
      <c r="B57" s="15" t="n"/>
      <c r="C57" s="50">
        <f>AA57</f>
        <v/>
      </c>
      <c r="D57" s="50">
        <f>C57*0.1818</f>
        <v/>
      </c>
      <c r="E57" s="50">
        <f>SUM(C57:D57)</f>
        <v/>
      </c>
      <c r="F57" s="50">
        <f>E57*0.1111</f>
        <v/>
      </c>
      <c r="G57" s="50">
        <f>E57*0.083</f>
        <v/>
      </c>
      <c r="H57" s="50">
        <f>SUM(E57:G57)*0.08</f>
        <v/>
      </c>
      <c r="I57" s="47">
        <f>AA26</f>
        <v/>
      </c>
      <c r="J57" s="47">
        <f>IF(I26=0,0,VLOOKUP(B57,$B$6:$I$25,8,0))</f>
        <v/>
      </c>
      <c r="K57" s="48">
        <f>IF(E57+I57&lt;=#REF!,(E57+I57)*J89-J57,IF(E57+I57&lt;=#REF!,(E57+I57)*J90-J57,IF(E57+I57&lt;=$K$60,(E57+I57)*L95-J57,513.0125)))</f>
        <v/>
      </c>
      <c r="L57" s="9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1" t="n"/>
      <c r="X57" s="51" t="n"/>
      <c r="Y57" s="51" t="n"/>
      <c r="Z57" s="51" t="n"/>
      <c r="AA57" s="49">
        <f>SUM(M57:Z57)</f>
        <v/>
      </c>
      <c r="AB57" s="13" t="n"/>
    </row>
    <row r="58" ht="21.6" customHeight="1" thickBot="1">
      <c r="A58" s="46" t="inlineStr">
        <is>
          <t>FRANCA</t>
        </is>
      </c>
      <c r="B58" s="53" t="n"/>
      <c r="C58" s="54">
        <f>AA58</f>
        <v/>
      </c>
      <c r="D58" s="54">
        <f>C58*0.1818</f>
        <v/>
      </c>
      <c r="E58" s="54">
        <f>SUM(C58:D58)</f>
        <v/>
      </c>
      <c r="F58" s="54">
        <f>E58*0.1111</f>
        <v/>
      </c>
      <c r="G58" s="54">
        <f>E58*0.083</f>
        <v/>
      </c>
      <c r="H58" s="54">
        <f>SUM(E58:G58)*0.08</f>
        <v/>
      </c>
      <c r="I58" s="55">
        <f>AA27</f>
        <v/>
      </c>
      <c r="J58" s="55">
        <f>IF(I27=0,0,VLOOKUP(B58,$B$6:$I$25,8,0))</f>
        <v/>
      </c>
      <c r="K58" s="56">
        <f>IF(E58+I58&lt;=#REF!,(E58+I58)*J90-J58,IF(E58+I58&lt;=#REF!,(E58+I58)*J91-J58,IF(E58+I58&lt;=$K$60,(E58+I58)*L96-J58,513.0125)))</f>
        <v/>
      </c>
      <c r="L58" s="9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49">
        <f>SUM(M58:Z58)</f>
        <v/>
      </c>
      <c r="AB58" s="13" t="n"/>
    </row>
    <row r="59" ht="21" customHeight="1" thickBo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28" t="n"/>
      <c r="N59" s="28">
        <f>COUNT(#REF!)</f>
        <v/>
      </c>
      <c r="O59" s="28">
        <f>COUNT(#REF!)</f>
        <v/>
      </c>
      <c r="P59" s="28" t="n">
        <v>29</v>
      </c>
      <c r="Q59" s="28">
        <f>COUNT(#REF!)</f>
        <v/>
      </c>
      <c r="R59" s="28">
        <f>COUNT(#REF!)</f>
        <v/>
      </c>
      <c r="S59" s="28">
        <f>COUNT(#REF!)</f>
        <v/>
      </c>
      <c r="T59" s="28" t="n"/>
      <c r="U59" s="28">
        <f>COUNT(#REF!)</f>
        <v/>
      </c>
      <c r="V59" s="28">
        <f>COUNT(#REF!)</f>
        <v/>
      </c>
      <c r="W59" s="28" t="n"/>
      <c r="X59" s="28" t="n"/>
      <c r="Y59" s="28" t="n"/>
      <c r="Z59" s="28" t="n"/>
      <c r="AA59" s="28" t="n"/>
      <c r="AB59" s="10" t="n"/>
    </row>
    <row r="60" ht="21.6" customHeight="1" thickBot="1">
      <c r="A60" s="64" t="inlineStr">
        <is>
          <t>MÉDIA DIARIA CHAPAS</t>
        </is>
      </c>
      <c r="B60" s="108" t="n"/>
      <c r="C60" s="37" t="n">
        <v>9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29" t="inlineStr">
        <is>
          <t>TOTAL GERAL / BOLETIM ENSACADORES:</t>
        </is>
      </c>
      <c r="N60" s="30" t="n"/>
      <c r="O60" s="30" t="n"/>
      <c r="P60" s="30" t="n"/>
      <c r="Q60" s="30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2" t="inlineStr">
        <is>
          <t>TOTAL:</t>
        </is>
      </c>
    </row>
    <row r="61" ht="21.6" customHeight="1" thickBot="1">
      <c r="A61" s="113" t="inlineStr">
        <is>
          <t>TOTAL DE CHAPAS NO MÊS</t>
        </is>
      </c>
      <c r="B61" s="108" t="n"/>
      <c r="C61" s="58" t="n">
        <v>9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33">
        <f>SUM(M37:M58)</f>
        <v/>
      </c>
      <c r="N61" s="33">
        <f>SUM(N37:N58)</f>
        <v/>
      </c>
      <c r="O61" s="33" t="n">
        <v>748.97</v>
      </c>
      <c r="P61" s="33">
        <f>SUM(P37:P58)</f>
        <v/>
      </c>
      <c r="Q61" s="33">
        <f>SUM(Q37:Q57)</f>
        <v/>
      </c>
      <c r="R61" s="33">
        <f>SUM(R37:R58)</f>
        <v/>
      </c>
      <c r="S61" s="33">
        <f>SUM(S37:S58)</f>
        <v/>
      </c>
      <c r="T61" s="33">
        <f>SUM(T37:T58)</f>
        <v/>
      </c>
      <c r="U61" s="33">
        <f>SUM(U37:U58)</f>
        <v/>
      </c>
      <c r="V61" s="33">
        <f>SUM(V37:V58)</f>
        <v/>
      </c>
      <c r="W61" s="33">
        <f>SUM(W37:W58)</f>
        <v/>
      </c>
      <c r="X61" s="33" t="n">
        <v>946.03</v>
      </c>
      <c r="Y61" s="33" t="n">
        <v>1294.07</v>
      </c>
      <c r="Z61" s="33" t="n">
        <v>709.52</v>
      </c>
      <c r="AA61" s="34" t="n"/>
      <c r="AB61" s="35">
        <f>SUM(M61:Z61)</f>
        <v/>
      </c>
    </row>
    <row r="62" ht="20.4" customHeight="1">
      <c r="L62" s="10" t="n"/>
    </row>
    <row r="63" ht="20.4" customHeight="1">
      <c r="L63" s="10" t="n"/>
    </row>
    <row r="64" ht="20.4" customHeight="1">
      <c r="L64" s="10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</row>
    <row r="65" ht="20.4" customHeight="1"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</sheetData>
  <mergeCells count="9">
    <mergeCell ref="A35:K35"/>
    <mergeCell ref="A60:B60"/>
    <mergeCell ref="A2:H2"/>
    <mergeCell ref="A3:I3"/>
    <mergeCell ref="M4:AA4"/>
    <mergeCell ref="A1:H1"/>
    <mergeCell ref="M35:AB35"/>
    <mergeCell ref="A4:I4"/>
    <mergeCell ref="A61:B61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"/>
  <sheetViews>
    <sheetView topLeftCell="H34" zoomScale="55" zoomScaleNormal="55" workbookViewId="0">
      <selection activeCell="K23" sqref="K23"/>
    </sheetView>
  </sheetViews>
  <sheetFormatPr baseColWidth="8" defaultColWidth="25.33203125" defaultRowHeight="14.4"/>
  <cols>
    <col width="34.77734375" customWidth="1" min="2" max="2"/>
    <col width="28.88671875" customWidth="1" min="13" max="13"/>
    <col width="17" customWidth="1" min="14" max="14"/>
    <col width="13" customWidth="1" min="15" max="15"/>
    <col width="14.6640625" customWidth="1" min="16" max="16"/>
    <col width="18.109375" customWidth="1" min="17" max="17"/>
    <col width="15.88671875" customWidth="1" min="18" max="18"/>
    <col width="11.33203125" bestFit="1" customWidth="1" min="19" max="23"/>
    <col width="14" bestFit="1" customWidth="1" min="24" max="24"/>
    <col width="11.33203125" bestFit="1" customWidth="1" min="25" max="25"/>
    <col width="8" bestFit="1" customWidth="1" min="26" max="26"/>
    <col width="13" bestFit="1" customWidth="1" min="27" max="27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45689</v>
      </c>
      <c r="N5" s="11" t="n">
        <v>45691</v>
      </c>
      <c r="O5" s="11" t="n">
        <v>45692</v>
      </c>
      <c r="P5" s="11" t="n">
        <v>402</v>
      </c>
      <c r="Q5" s="11" t="n">
        <v>45694</v>
      </c>
      <c r="R5" s="11" t="n">
        <v>45695</v>
      </c>
      <c r="S5" s="11" t="n">
        <v>45696</v>
      </c>
      <c r="T5" s="11" t="n">
        <v>45698</v>
      </c>
      <c r="U5" s="11" t="n">
        <v>45699</v>
      </c>
      <c r="V5" s="11" t="n">
        <v>45700</v>
      </c>
      <c r="W5" s="11" t="n">
        <v>45701</v>
      </c>
      <c r="X5" s="11" t="n">
        <v>45702</v>
      </c>
      <c r="Y5" s="11" t="n">
        <v>45703</v>
      </c>
      <c r="Z5" s="11" t="n"/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15" t="inlineStr">
        <is>
          <t>CHAPA_04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39.42</v>
      </c>
      <c r="N6" s="17" t="n"/>
      <c r="O6" s="17" t="n">
        <v>0</v>
      </c>
      <c r="P6" s="17" t="n">
        <v>0</v>
      </c>
      <c r="Q6" s="17" t="n">
        <v>0</v>
      </c>
      <c r="R6" s="17" t="n">
        <v>213.53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/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22" t="inlineStr">
        <is>
          <t>CHAPA_06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31.54</v>
      </c>
      <c r="N7" s="17" t="n">
        <v>78.84</v>
      </c>
      <c r="O7" s="17" t="n">
        <v>92.26000000000001</v>
      </c>
      <c r="P7" s="17" t="n">
        <v>78.84</v>
      </c>
      <c r="Q7" s="17" t="n">
        <v>86.98</v>
      </c>
      <c r="R7" s="17" t="n">
        <v>78.84</v>
      </c>
      <c r="S7" s="17" t="n">
        <v>39.42</v>
      </c>
      <c r="T7" s="17" t="n">
        <v>0</v>
      </c>
      <c r="U7" s="17" t="n">
        <v>0</v>
      </c>
      <c r="V7" s="17" t="n">
        <v>78.84</v>
      </c>
      <c r="W7" s="17" t="n">
        <v>78.84</v>
      </c>
      <c r="X7" s="21" t="n">
        <v>78.84</v>
      </c>
      <c r="Y7" s="17" t="n">
        <v>23.65</v>
      </c>
      <c r="Z7" s="17" t="n"/>
      <c r="AA7" s="18">
        <f>SUM(M7:Z7)</f>
        <v/>
      </c>
      <c r="AB7" s="13" t="n"/>
    </row>
    <row r="8" ht="21" customHeight="1">
      <c r="A8" s="14" t="inlineStr">
        <is>
          <t>FRANCA</t>
        </is>
      </c>
      <c r="B8" s="15" t="inlineStr">
        <is>
          <t>CHAPA_10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31.54</v>
      </c>
      <c r="N8" s="17" t="n">
        <v>78.84</v>
      </c>
      <c r="O8" s="17" t="n">
        <v>92.26000000000001</v>
      </c>
      <c r="P8" s="17" t="n">
        <v>78.84</v>
      </c>
      <c r="Q8" s="17" t="n">
        <v>86.98</v>
      </c>
      <c r="R8" s="17" t="n">
        <v>78.84</v>
      </c>
      <c r="S8" s="17" t="n">
        <v>78.84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/>
      <c r="AA8" s="18">
        <f>SUM(M8:Z8)</f>
        <v/>
      </c>
      <c r="AB8" s="13" t="n"/>
    </row>
    <row r="9" ht="21" customHeight="1">
      <c r="A9" s="14" t="inlineStr">
        <is>
          <t>FRANCA</t>
        </is>
      </c>
      <c r="B9" s="4" t="inlineStr">
        <is>
          <t>CHAPA_11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39.42</v>
      </c>
      <c r="N9" s="17" t="n">
        <v>0</v>
      </c>
      <c r="O9" s="17" t="n">
        <v>353.77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/>
      <c r="AA9" s="18">
        <f>SUM(M9:Z9)</f>
        <v/>
      </c>
      <c r="AB9" s="13" t="n"/>
    </row>
    <row r="10" ht="21" customHeight="1">
      <c r="A10" s="14" t="inlineStr">
        <is>
          <t>FRANCA</t>
        </is>
      </c>
      <c r="B10" s="24" t="inlineStr">
        <is>
          <t>CHAPA_15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78.84</v>
      </c>
      <c r="N10" s="17" t="n">
        <v>78.84</v>
      </c>
      <c r="O10" s="17" t="n">
        <v>92.26000000000001</v>
      </c>
      <c r="P10" s="17" t="n">
        <v>78.84</v>
      </c>
      <c r="Q10" s="17" t="n">
        <v>86.98</v>
      </c>
      <c r="R10" s="17" t="n">
        <v>78.84</v>
      </c>
      <c r="S10" s="17" t="n">
        <v>78.84</v>
      </c>
      <c r="T10" s="17" t="n">
        <v>78.84</v>
      </c>
      <c r="U10" s="17" t="n">
        <v>78.84</v>
      </c>
      <c r="V10" s="17" t="n">
        <v>78.84</v>
      </c>
      <c r="W10" s="17" t="n">
        <v>0</v>
      </c>
      <c r="X10" s="17" t="n">
        <v>78.84</v>
      </c>
      <c r="Y10" s="17" t="n">
        <v>70.95999999999999</v>
      </c>
      <c r="Z10" s="17" t="n"/>
      <c r="AA10" s="18">
        <f>SUM(M10:Z10)</f>
        <v/>
      </c>
      <c r="AB10" s="13" t="n"/>
    </row>
    <row r="11" ht="21" customHeight="1">
      <c r="A11" s="14" t="inlineStr">
        <is>
          <t>FRANCA</t>
        </is>
      </c>
      <c r="B11" s="22" t="inlineStr">
        <is>
          <t>CHAPA_16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15.76</v>
      </c>
      <c r="N11" s="17" t="n">
        <v>0</v>
      </c>
      <c r="O11" s="17" t="n">
        <v>0</v>
      </c>
      <c r="P11" s="17" t="n">
        <v>0</v>
      </c>
      <c r="Q11" s="17" t="n">
        <v>86.98</v>
      </c>
      <c r="R11" s="17" t="n">
        <v>78.84</v>
      </c>
      <c r="S11" s="17" t="n">
        <v>15.76</v>
      </c>
      <c r="T11" s="17" t="n">
        <v>78.84</v>
      </c>
      <c r="U11" s="17" t="n">
        <v>78.84</v>
      </c>
      <c r="V11" s="17" t="n">
        <v>78.84</v>
      </c>
      <c r="W11" s="17" t="n">
        <v>78.84</v>
      </c>
      <c r="X11" s="17" t="n">
        <v>78.84</v>
      </c>
      <c r="Y11" s="17" t="n">
        <v>39.42</v>
      </c>
      <c r="Z11" s="17" t="n"/>
      <c r="AA11" s="18">
        <f>SUM(M11:Z11)</f>
        <v/>
      </c>
      <c r="AB11" s="13" t="n"/>
    </row>
    <row r="12" ht="21" customHeight="1">
      <c r="A12" s="14" t="inlineStr">
        <is>
          <t>FRANCA</t>
        </is>
      </c>
      <c r="B12" s="15" t="inlineStr">
        <is>
          <t>CHAPA_20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21" t="n">
        <v>63.07</v>
      </c>
      <c r="N12" s="21" t="n">
        <v>78.84</v>
      </c>
      <c r="O12" s="21" t="n">
        <v>78.84</v>
      </c>
      <c r="P12" s="21" t="n">
        <v>78.84</v>
      </c>
      <c r="Q12" s="21" t="n">
        <v>78.84</v>
      </c>
      <c r="R12" s="17" t="n">
        <v>0</v>
      </c>
      <c r="S12" s="21" t="n">
        <v>31.54</v>
      </c>
      <c r="T12" s="17" t="n">
        <v>78.84</v>
      </c>
      <c r="U12" s="17" t="n">
        <v>78.84</v>
      </c>
      <c r="V12" s="17" t="n">
        <v>78.84</v>
      </c>
      <c r="W12" s="17" t="n">
        <v>0</v>
      </c>
      <c r="X12" s="21" t="n">
        <v>78.83</v>
      </c>
      <c r="Y12" s="17" t="n">
        <v>31.54</v>
      </c>
      <c r="Z12" s="17" t="n"/>
      <c r="AA12" s="18">
        <f>SUM(M12:Z12)</f>
        <v/>
      </c>
      <c r="AB12" s="13" t="n"/>
    </row>
    <row r="13" ht="21" customHeight="1">
      <c r="A13" s="14" t="inlineStr">
        <is>
          <t>FRANCA</t>
        </is>
      </c>
      <c r="B13" s="15" t="inlineStr">
        <is>
          <t>CHAPA_26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21" t="n">
        <v>31.54</v>
      </c>
      <c r="N13" s="21" t="n">
        <v>78.83</v>
      </c>
      <c r="O13" s="21" t="n">
        <v>78.88</v>
      </c>
      <c r="P13" s="21" t="n">
        <v>78.83</v>
      </c>
      <c r="Q13" s="21" t="n">
        <v>78.83</v>
      </c>
      <c r="R13" s="21" t="n">
        <v>78.84</v>
      </c>
      <c r="S13" s="21" t="n">
        <v>39.42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/>
      <c r="AA13" s="18">
        <f>SUM(M13:Z13)</f>
        <v/>
      </c>
      <c r="AB13" s="13" t="n"/>
    </row>
    <row r="14" ht="21" customHeight="1">
      <c r="A14" s="14" t="inlineStr">
        <is>
          <t>FRANCA</t>
        </is>
      </c>
      <c r="B14" s="24" t="inlineStr">
        <is>
          <t>CHAPA_32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31.54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78.84</v>
      </c>
      <c r="U14" s="17" t="n">
        <v>78.84</v>
      </c>
      <c r="V14" s="17" t="n">
        <v>78.84</v>
      </c>
      <c r="W14" s="17" t="n">
        <v>78.84</v>
      </c>
      <c r="X14" s="17" t="n">
        <v>78.84</v>
      </c>
      <c r="Y14" s="17" t="n">
        <v>78.84</v>
      </c>
      <c r="Z14" s="17" t="n"/>
      <c r="AA14" s="18">
        <f>SUM(M14:Z14)</f>
        <v/>
      </c>
      <c r="AB14" s="13" t="n"/>
    </row>
    <row r="15" ht="21" customHeight="1">
      <c r="A15" s="14" t="inlineStr">
        <is>
          <t>FRANCA</t>
        </is>
      </c>
      <c r="B15" s="22" t="inlineStr">
        <is>
          <t>CHAPA_36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>
        <v>39.42</v>
      </c>
      <c r="N15" s="17" t="n">
        <v>78.84</v>
      </c>
      <c r="O15" s="17" t="n">
        <v>92.26000000000001</v>
      </c>
      <c r="P15" s="17" t="n">
        <v>78.84</v>
      </c>
      <c r="Q15" s="17" t="n">
        <v>86.97</v>
      </c>
      <c r="R15" s="17" t="n">
        <v>78.84</v>
      </c>
      <c r="S15" s="17" t="n">
        <v>39.42</v>
      </c>
      <c r="T15" s="17" t="n">
        <v>0</v>
      </c>
      <c r="U15" s="17" t="n">
        <v>78.84</v>
      </c>
      <c r="V15" s="17" t="n">
        <v>78.84</v>
      </c>
      <c r="W15" s="17" t="n">
        <v>78.84</v>
      </c>
      <c r="X15" s="17" t="n">
        <v>78.84</v>
      </c>
      <c r="Y15" s="17" t="n">
        <v>70.95999999999999</v>
      </c>
      <c r="Z15" s="17" t="n"/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15" t="inlineStr">
        <is>
          <t>CHAPA_38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>
        <v>78.83</v>
      </c>
      <c r="N16" s="17" t="n">
        <v>78.83</v>
      </c>
      <c r="O16" s="17" t="n">
        <v>92.26000000000001</v>
      </c>
      <c r="P16" s="17" t="n">
        <v>78.83</v>
      </c>
      <c r="Q16" s="17" t="n">
        <v>86.97</v>
      </c>
      <c r="R16" s="17" t="n">
        <v>78.84</v>
      </c>
      <c r="S16" s="17" t="n">
        <v>39.42</v>
      </c>
      <c r="T16" s="17" t="n">
        <v>78.84</v>
      </c>
      <c r="U16" s="17" t="n">
        <v>78.84</v>
      </c>
      <c r="V16" s="17" t="n">
        <v>78.83</v>
      </c>
      <c r="W16" s="17" t="n">
        <v>78.84</v>
      </c>
      <c r="X16" s="17" t="n">
        <v>78.83</v>
      </c>
      <c r="Y16" s="17" t="n">
        <v>78.84</v>
      </c>
      <c r="Z16" s="17" t="n"/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15" t="inlineStr">
        <is>
          <t>CHAPA_40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>
        <v>31.54</v>
      </c>
      <c r="N17" s="17" t="n">
        <v>78.83</v>
      </c>
      <c r="O17" s="17" t="n">
        <v>92.26000000000001</v>
      </c>
      <c r="P17" s="17" t="n">
        <v>78.83</v>
      </c>
      <c r="Q17" s="17" t="n">
        <v>86.97</v>
      </c>
      <c r="R17" s="17" t="n">
        <v>78.83</v>
      </c>
      <c r="S17" s="17" t="n">
        <v>78.84</v>
      </c>
      <c r="T17" s="17" t="n">
        <v>78.83</v>
      </c>
      <c r="U17" s="17" t="n">
        <v>78.83</v>
      </c>
      <c r="V17" s="17" t="n">
        <v>78.83</v>
      </c>
      <c r="W17" s="17" t="n">
        <v>78.83</v>
      </c>
      <c r="X17" s="17" t="n">
        <v>0</v>
      </c>
      <c r="Y17" s="17" t="n">
        <v>31.54</v>
      </c>
      <c r="Z17" s="17" t="n"/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inlineStr">
        <is>
          <t>CHAPA_41</t>
        </is>
      </c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>
        <v>7.88</v>
      </c>
      <c r="N18" s="17" t="n">
        <v>78.83</v>
      </c>
      <c r="O18" s="17" t="n">
        <v>92.25</v>
      </c>
      <c r="P18" s="17" t="n">
        <v>78.83</v>
      </c>
      <c r="Q18" s="17" t="n">
        <v>86.97</v>
      </c>
      <c r="R18" s="17" t="n">
        <v>78.83</v>
      </c>
      <c r="S18" s="17" t="n">
        <v>78.84</v>
      </c>
      <c r="T18" s="17" t="n">
        <v>78.83</v>
      </c>
      <c r="U18" s="17" t="n">
        <v>39.41</v>
      </c>
      <c r="V18" s="17" t="n">
        <v>0</v>
      </c>
      <c r="W18" s="17" t="n">
        <v>78.83</v>
      </c>
      <c r="X18" s="17" t="n">
        <v>78.83</v>
      </c>
      <c r="Y18" s="17" t="n">
        <v>31.54</v>
      </c>
      <c r="Z18" s="17" t="n"/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inlineStr">
        <is>
          <t>CHAPA_23</t>
        </is>
      </c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86.97</v>
      </c>
      <c r="R19" s="17" t="n">
        <v>78.83</v>
      </c>
      <c r="S19" s="17" t="n">
        <v>55.17</v>
      </c>
      <c r="T19" s="17" t="n">
        <v>78.83</v>
      </c>
      <c r="U19" s="17" t="n">
        <v>78.83</v>
      </c>
      <c r="V19" s="17" t="n">
        <v>78.83</v>
      </c>
      <c r="W19" s="17" t="n">
        <v>78.83</v>
      </c>
      <c r="X19" s="17" t="n">
        <v>78.83</v>
      </c>
      <c r="Y19" s="17" t="n">
        <v>39.41</v>
      </c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" customHeight="1"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" customHeight="1"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 t="n">
        <v>536.12</v>
      </c>
      <c r="Z28" s="33" t="n"/>
      <c r="AA28" s="34" t="n"/>
      <c r="AB28" s="35">
        <f>SUM(M28:Z28)</f>
        <v/>
      </c>
    </row>
    <row r="29" ht="20.4" customHeight="1">
      <c r="J29" s="10" t="n"/>
      <c r="K29" s="10" t="n"/>
      <c r="L29" s="10" t="n"/>
    </row>
    <row r="30" ht="20.4" customHeight="1">
      <c r="J30" s="10" t="n"/>
      <c r="K30" s="10" t="n"/>
      <c r="L30" s="10" t="n"/>
    </row>
    <row r="31" ht="20.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 ht="21.6" customFormat="1" customHeight="1" s="59" thickBot="1">
      <c r="A32" s="61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</row>
    <row r="33" ht="21" customHeight="1" thickBot="1">
      <c r="A33" s="111" t="inlineStr">
        <is>
          <t>2ª QUINZENA</t>
        </is>
      </c>
      <c r="B33" s="107" t="n"/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8" t="n"/>
      <c r="L33" s="4" t="n"/>
      <c r="M33" s="112" t="inlineStr">
        <is>
          <t xml:space="preserve">TOTAL </t>
        </is>
      </c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10" t="n"/>
    </row>
    <row r="34" ht="21.6" customHeight="1" thickBot="1">
      <c r="A34" s="40" t="inlineStr">
        <is>
          <t>LOCAL</t>
        </is>
      </c>
      <c r="B34" s="40" t="inlineStr">
        <is>
          <t>NOME</t>
        </is>
      </c>
      <c r="C34" s="41" t="inlineStr">
        <is>
          <t>DIÁRIA</t>
        </is>
      </c>
      <c r="D34" s="41" t="inlineStr">
        <is>
          <t>DSR</t>
        </is>
      </c>
      <c r="E34" s="41" t="inlineStr">
        <is>
          <t>TOTAL</t>
        </is>
      </c>
      <c r="F34" s="41" t="inlineStr">
        <is>
          <t>FÉRIAS</t>
        </is>
      </c>
      <c r="G34" s="41" t="inlineStr">
        <is>
          <t>13º SALÁRIO</t>
        </is>
      </c>
      <c r="H34" s="41" t="inlineStr">
        <is>
          <t>FGTS</t>
        </is>
      </c>
      <c r="I34" s="42" t="inlineStr">
        <is>
          <t>T. 1º Q.</t>
        </is>
      </c>
      <c r="J34" s="42" t="inlineStr">
        <is>
          <t>INSS 1º</t>
        </is>
      </c>
      <c r="K34" s="43" t="inlineStr">
        <is>
          <t>INSS</t>
        </is>
      </c>
      <c r="L34" s="9" t="n"/>
      <c r="M34" s="44" t="n">
        <v>45705</v>
      </c>
      <c r="N34" s="44" t="n">
        <v>45706</v>
      </c>
      <c r="O34" s="44" t="n">
        <v>45707</v>
      </c>
      <c r="P34" s="44" t="n">
        <v>45708</v>
      </c>
      <c r="Q34" s="44" t="n">
        <v>45709</v>
      </c>
      <c r="R34" s="44" t="n">
        <v>45710</v>
      </c>
      <c r="S34" s="44" t="n">
        <v>45712</v>
      </c>
      <c r="T34" s="44" t="n">
        <v>45713</v>
      </c>
      <c r="U34" s="44" t="n">
        <v>45714</v>
      </c>
      <c r="V34" s="44" t="n">
        <v>45715</v>
      </c>
      <c r="W34" s="44" t="n">
        <v>45716</v>
      </c>
      <c r="X34" s="44" t="n">
        <v>45716</v>
      </c>
      <c r="Y34" s="45" t="n"/>
      <c r="Z34" s="45" t="n"/>
      <c r="AA34" s="8" t="inlineStr">
        <is>
          <t>TOTAL</t>
        </is>
      </c>
      <c r="AB34" s="13" t="n"/>
    </row>
    <row r="35" ht="21" customHeight="1">
      <c r="A35" s="46" t="inlineStr">
        <is>
          <t>FRANCA</t>
        </is>
      </c>
      <c r="B35" s="22" t="inlineStr">
        <is>
          <t>CHAPA_06</t>
        </is>
      </c>
      <c r="C35" s="10">
        <f>AA35</f>
        <v/>
      </c>
      <c r="D35" s="10">
        <f>C35*0.1818</f>
        <v/>
      </c>
      <c r="E35" s="10">
        <f>SUM(C35:D35)</f>
        <v/>
      </c>
      <c r="F35" s="10">
        <f>E35*0.1111</f>
        <v/>
      </c>
      <c r="G35" s="10">
        <f>E35*0.083</f>
        <v/>
      </c>
      <c r="H35" s="10">
        <f>SUM(E35:G35)*0.08</f>
        <v/>
      </c>
      <c r="I35" s="10">
        <f>IF(E35&lt;=$F$69,E35*$G$69,IF(E35&lt;=$F$70,E35*$G$70,IF(E35&lt;=$F$71,E35*$G$71,513.0125)))</f>
        <v/>
      </c>
      <c r="J35" s="47">
        <f>IF(I6=0,0,VLOOKUP(B35,$B$6:$I$25,8,0))</f>
        <v/>
      </c>
      <c r="K35" s="48">
        <f>IF(E35+I35&lt;=$K$62,(E35+I35)*J71-J35,IF(E35+I35&lt;=$K$63,(E35+I35)*J72-J35,IF(E35+I35&lt;=$K$64,(E35+I35)*L73-J35,513.0125)))</f>
        <v/>
      </c>
      <c r="L35" s="9" t="n"/>
      <c r="M35" s="17" t="n">
        <v>39.41</v>
      </c>
      <c r="N35" s="17" t="n">
        <v>78.84</v>
      </c>
      <c r="O35" s="17" t="n">
        <v>78.84</v>
      </c>
      <c r="P35" s="17" t="n">
        <v>0</v>
      </c>
      <c r="Q35" s="17" t="n">
        <v>78.84</v>
      </c>
      <c r="R35" s="17" t="n">
        <v>23.65</v>
      </c>
      <c r="S35" s="17" t="n">
        <v>0</v>
      </c>
      <c r="T35" s="17" t="n">
        <v>0</v>
      </c>
      <c r="U35" s="17" t="n">
        <v>78.84</v>
      </c>
      <c r="V35" s="17" t="n">
        <v>39.41</v>
      </c>
      <c r="W35" s="17" t="n">
        <v>78.83</v>
      </c>
      <c r="X35" s="17" t="n">
        <v>443.8</v>
      </c>
      <c r="Y35" s="17" t="n"/>
      <c r="Z35" s="17" t="n"/>
      <c r="AA35" s="49">
        <f>SUM(M35:Z35)</f>
        <v/>
      </c>
      <c r="AB35" s="13" t="n"/>
    </row>
    <row r="36" ht="21" customHeight="1">
      <c r="A36" s="46" t="inlineStr">
        <is>
          <t>FRANCA</t>
        </is>
      </c>
      <c r="B36" s="24" t="inlineStr">
        <is>
          <t>CHAPA_15</t>
        </is>
      </c>
      <c r="C36" s="10">
        <f>AA36</f>
        <v/>
      </c>
      <c r="D36" s="10">
        <f>C36*0.1818</f>
        <v/>
      </c>
      <c r="E36" s="10">
        <f>SUM(C36:D36)</f>
        <v/>
      </c>
      <c r="F36" s="10">
        <f>E36*0.1111</f>
        <v/>
      </c>
      <c r="G36" s="10">
        <f>E36*0.083</f>
        <v/>
      </c>
      <c r="H36" s="10">
        <f>SUM(E36:G36)*0.08</f>
        <v/>
      </c>
      <c r="I36" s="10">
        <f>IF(E36&lt;=$F$69,E36*$G$69,IF(E36&lt;=$F$70,E36*$G$70,IF(E36&lt;=$F$71,E36*$G$71,513.0125)))</f>
        <v/>
      </c>
      <c r="J36" s="47">
        <f>IF(#REF!=0,0,VLOOKUP(B36,$B$6:$I$25,8,0))</f>
        <v/>
      </c>
      <c r="K36" s="48">
        <f>IF(E36+I36&lt;=$K$62,(E36+I36)*J72-J36,IF(E36+I36&lt;=$K$63,(E36+I36)*J73-J36,IF(E36+I36&lt;=$K$64,(E36+I36)*L74-J36,513.0125)))</f>
        <v/>
      </c>
      <c r="L36" s="9" t="n"/>
      <c r="M36" s="17" t="n">
        <v>78.84</v>
      </c>
      <c r="N36" s="17" t="n">
        <v>78.84</v>
      </c>
      <c r="O36" s="17" t="n">
        <v>78.84</v>
      </c>
      <c r="P36" s="17" t="n">
        <v>78.84</v>
      </c>
      <c r="Q36" s="17" t="n">
        <v>78.84</v>
      </c>
      <c r="R36" s="17" t="n">
        <v>78.84</v>
      </c>
      <c r="S36" s="17" t="n">
        <v>78.84</v>
      </c>
      <c r="T36" s="17" t="n">
        <v>78.84</v>
      </c>
      <c r="U36" s="17" t="n">
        <v>78.84</v>
      </c>
      <c r="V36" s="17" t="n">
        <v>78.84</v>
      </c>
      <c r="W36" s="17" t="n">
        <v>78.83</v>
      </c>
      <c r="X36" s="17" t="n">
        <v>544.71</v>
      </c>
      <c r="Y36" s="17" t="n"/>
      <c r="Z36" s="17" t="n"/>
      <c r="AA36" s="49">
        <f>SUM(M36:Z36)</f>
        <v/>
      </c>
      <c r="AB36" s="13" t="n"/>
    </row>
    <row r="37" ht="21" customHeight="1">
      <c r="A37" s="46" t="inlineStr">
        <is>
          <t>FRANCA</t>
        </is>
      </c>
      <c r="B37" s="22" t="inlineStr">
        <is>
          <t>CHAPA_16</t>
        </is>
      </c>
      <c r="C37" s="10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IF(E37&lt;=$F$69,E37*$G$69,IF(E37&lt;=$F$70,E37*$G$70,IF(E37&lt;=$F$71,E37*$G$71,513.0125)))</f>
        <v/>
      </c>
      <c r="J37" s="47">
        <f>IF(I7=0,0,VLOOKUP(B37,$B$6:$I$25,8,0))</f>
        <v/>
      </c>
      <c r="K37" s="48">
        <f>IF(E37+I37&lt;=$K$62,(E37+I37)*J73-J37,IF(E37+I37&lt;=$K$63,(E37+I37)*J74-J37,IF(E37+I37&lt;=$K$64,(E37+I37)*L75-J37,513.0125)))</f>
        <v/>
      </c>
      <c r="L37" s="9" t="n"/>
      <c r="M37" s="17" t="n">
        <v>78.84</v>
      </c>
      <c r="N37" s="17" t="n">
        <v>78.84</v>
      </c>
      <c r="O37" s="17" t="n">
        <v>78.84</v>
      </c>
      <c r="P37" s="17" t="n">
        <v>78.84</v>
      </c>
      <c r="Q37" s="17" t="n">
        <v>0</v>
      </c>
      <c r="R37" s="17" t="n">
        <v>366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/>
      <c r="Y37" s="17" t="n"/>
      <c r="Z37" s="17" t="n"/>
      <c r="AA37" s="49">
        <f>SUM(M37:Z37)</f>
        <v/>
      </c>
      <c r="AB37" s="13" t="n"/>
    </row>
    <row r="38" ht="21" customHeight="1">
      <c r="A38" s="46" t="inlineStr">
        <is>
          <t>FRANCA</t>
        </is>
      </c>
      <c r="B38" s="15" t="inlineStr">
        <is>
          <t>CHAPA_20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47">
        <f>IF(I8=0,0,VLOOKUP(B38,$B$6:$I$25,8,0))</f>
        <v/>
      </c>
      <c r="K38" s="48">
        <f>IF(E38+I38&lt;=$K$62,(E38+I38)*J74-J38,IF(E38+I38&lt;=$K$63,(E38+I38)*J75-J38,IF(E38+I38&lt;=$K$64,(E38+I38)*L76-J38,513.0125)))</f>
        <v/>
      </c>
      <c r="L38" s="9" t="n"/>
      <c r="M38" s="17" t="n">
        <v>78.84</v>
      </c>
      <c r="N38" s="21" t="n">
        <v>78.84</v>
      </c>
      <c r="O38" s="21" t="n">
        <v>78.84</v>
      </c>
      <c r="P38" s="21" t="n">
        <v>78.84</v>
      </c>
      <c r="Q38" s="21" t="n">
        <v>78.84</v>
      </c>
      <c r="R38" s="17" t="n">
        <v>39.42</v>
      </c>
      <c r="S38" s="17" t="n">
        <v>78.84</v>
      </c>
      <c r="T38" s="17" t="n">
        <v>78.84</v>
      </c>
      <c r="U38" s="21" t="n">
        <v>78.84</v>
      </c>
      <c r="V38" s="21" t="n">
        <v>78.84</v>
      </c>
      <c r="W38" s="21" t="n">
        <v>78.84</v>
      </c>
      <c r="X38" s="21" t="n">
        <v>461.39</v>
      </c>
      <c r="Y38" s="17" t="n"/>
      <c r="Z38" s="17" t="n"/>
      <c r="AA38" s="49">
        <f>SUM(M38:Z38)</f>
        <v/>
      </c>
      <c r="AB38" s="13" t="n"/>
    </row>
    <row r="39" ht="21" customHeight="1">
      <c r="A39" s="46" t="inlineStr">
        <is>
          <t>FRANCA</t>
        </is>
      </c>
      <c r="B39" s="22" t="inlineStr">
        <is>
          <t>CHAPA_23</t>
        </is>
      </c>
      <c r="C39" s="10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47">
        <f>IF(#REF!=0,0,VLOOKUP(B39,$B$6:$I$25,8,0))</f>
        <v/>
      </c>
      <c r="K39" s="48">
        <f>IF(E39+I39&lt;=$K$62,(E39+I39)*J75-J39,IF(E39+I39&lt;=$K$63,(E39+I39)*J76-J39,IF(E39+I39&lt;=$K$64,(E39+I39)*L77-J39,513.0125)))</f>
        <v/>
      </c>
      <c r="L39" s="9" t="n"/>
      <c r="M39" s="17" t="n">
        <v>0</v>
      </c>
      <c r="N39" s="17" t="n">
        <v>78.84</v>
      </c>
      <c r="O39" s="17" t="n">
        <v>78.84</v>
      </c>
      <c r="P39" s="17" t="n">
        <v>0</v>
      </c>
      <c r="Q39" s="17" t="n">
        <v>78.84</v>
      </c>
      <c r="R39" s="17" t="n">
        <v>63.07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141.68</v>
      </c>
      <c r="Y39" s="17" t="n"/>
      <c r="Z39" s="17" t="n"/>
      <c r="AA39" s="49">
        <f>SUM(M39:Z39)</f>
        <v/>
      </c>
      <c r="AB39" s="13" t="n"/>
    </row>
    <row r="40" ht="21" customHeight="1">
      <c r="A40" s="46" t="inlineStr">
        <is>
          <t>FRANCA</t>
        </is>
      </c>
      <c r="B40" s="24" t="inlineStr">
        <is>
          <t>CHAPA_32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IF(E40&lt;=$F$69,E40*$G$69,IF(E40&lt;=$F$70,E40*$G$70,IF(E40&lt;=$F$71,E40*$G$71,513.0125)))</f>
        <v/>
      </c>
      <c r="J40" s="47">
        <f>IF(I9=0,0,VLOOKUP(B40,$B$6:$I$25,8,0))</f>
        <v/>
      </c>
      <c r="K40" s="48">
        <f>IF(E40+I40&lt;=$K$62,(E40+I40)*J76-J40,IF(E40+I40&lt;=$K$63,(E40+I40)*J77-J40,IF(E40+I40&lt;=$K$64,(E40+I40)*L78-J40,513.0125)))</f>
        <v/>
      </c>
      <c r="L40" s="9" t="n"/>
      <c r="M40" s="17" t="n">
        <v>78.84</v>
      </c>
      <c r="N40" s="17" t="n">
        <v>78.84</v>
      </c>
      <c r="O40" s="17" t="n">
        <v>78.84</v>
      </c>
      <c r="P40" s="17" t="n">
        <v>78.84</v>
      </c>
      <c r="Q40" s="17" t="n">
        <v>78.84</v>
      </c>
      <c r="R40" s="17" t="n">
        <v>78.84</v>
      </c>
      <c r="S40" s="17" t="n">
        <v>78.84</v>
      </c>
      <c r="T40" s="17" t="n">
        <v>78.84</v>
      </c>
      <c r="U40" s="17" t="n">
        <v>78.84</v>
      </c>
      <c r="V40" s="17" t="n">
        <v>78.84</v>
      </c>
      <c r="W40" s="17" t="n">
        <v>78.83</v>
      </c>
      <c r="X40" s="17" t="n">
        <v>435.32</v>
      </c>
      <c r="Y40" s="17" t="n"/>
      <c r="Z40" s="17" t="n"/>
      <c r="AA40" s="49">
        <f>SUM(M40:Z40)</f>
        <v/>
      </c>
      <c r="AB40" s="13" t="n"/>
    </row>
    <row r="41" ht="21" customHeight="1">
      <c r="A41" s="46" t="inlineStr">
        <is>
          <t>FRANCA</t>
        </is>
      </c>
      <c r="B41" s="22" t="inlineStr">
        <is>
          <t>CHAPA_36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47">
        <f>IF(I10=0,0,VLOOKUP(B41,$B$6:$I$25,8,0))</f>
        <v/>
      </c>
      <c r="K41" s="48">
        <f>IF(E41+I41&lt;=$K$62,(E41+I41)*J77-J41,IF(E41+I41&lt;=$K$63,(E41+I41)*J78-J41,IF(E41+I41&lt;=$K$64,(E41+I41)*L79-J41,513.0125)))</f>
        <v/>
      </c>
      <c r="L41" s="9" t="n"/>
      <c r="M41" s="17" t="n">
        <v>78.84</v>
      </c>
      <c r="N41" s="17" t="n">
        <v>78.84</v>
      </c>
      <c r="O41" s="17" t="n">
        <v>78.84</v>
      </c>
      <c r="P41" s="17" t="n">
        <v>0</v>
      </c>
      <c r="Q41" s="17" t="n">
        <v>78.84</v>
      </c>
      <c r="R41" s="17" t="n">
        <v>31.54</v>
      </c>
      <c r="S41" s="17" t="n">
        <v>78.84</v>
      </c>
      <c r="T41" s="17" t="n">
        <v>78.84</v>
      </c>
      <c r="U41" s="17" t="n">
        <v>54.17</v>
      </c>
      <c r="V41" s="17" t="n">
        <v>78.84</v>
      </c>
      <c r="W41" s="17" t="n">
        <v>78.84</v>
      </c>
      <c r="X41" s="17" t="n">
        <v>471.36</v>
      </c>
      <c r="Y41" s="17" t="n"/>
      <c r="Z41" s="17" t="n"/>
      <c r="AA41" s="49">
        <f>SUM(M41:Z41)</f>
        <v/>
      </c>
      <c r="AB41" s="13" t="n"/>
    </row>
    <row r="42" ht="21" customHeight="1">
      <c r="A42" s="46" t="inlineStr">
        <is>
          <t>FRANCA</t>
        </is>
      </c>
      <c r="B42" s="15" t="inlineStr">
        <is>
          <t>CHAPA_38</t>
        </is>
      </c>
      <c r="C42" s="50">
        <f>AA42</f>
        <v/>
      </c>
      <c r="D42" s="50">
        <f>C42*0.1818</f>
        <v/>
      </c>
      <c r="E42" s="50">
        <f>SUM(C42:D42)</f>
        <v/>
      </c>
      <c r="F42" s="50">
        <f>E42*0.1111</f>
        <v/>
      </c>
      <c r="G42" s="50">
        <f>E42*0.083</f>
        <v/>
      </c>
      <c r="H42" s="50">
        <f>SUM(E42:G42)*0.08</f>
        <v/>
      </c>
      <c r="I42" s="47">
        <f>AA11</f>
        <v/>
      </c>
      <c r="J42" s="47">
        <f>IF(I11=0,0,VLOOKUP(B42,$B$6:$I$25,8,0))</f>
        <v/>
      </c>
      <c r="K42" s="48">
        <f>IF(E42+I42&lt;=$K$62,(E42+I42)*J78-J42,IF(E42+I42&lt;=$K$63,(E42+I42)*J79-J42,IF(E42+I42&lt;=$K$64,(E42+I42)*L80-J42,513.0125)))</f>
        <v/>
      </c>
      <c r="L42" s="9" t="n"/>
      <c r="M42" s="17" t="n">
        <v>78.84</v>
      </c>
      <c r="N42" s="17" t="n">
        <v>78.83</v>
      </c>
      <c r="O42" s="17" t="n">
        <v>78.84</v>
      </c>
      <c r="P42" s="17" t="n">
        <v>78.84</v>
      </c>
      <c r="Q42" s="17" t="n">
        <v>78.83</v>
      </c>
      <c r="R42" s="17" t="n">
        <v>39.42</v>
      </c>
      <c r="S42" s="17" t="n">
        <v>78.83</v>
      </c>
      <c r="T42" s="17" t="n">
        <v>78.83</v>
      </c>
      <c r="U42" s="17" t="n">
        <v>78.84</v>
      </c>
      <c r="V42" s="17" t="n">
        <v>78.84</v>
      </c>
      <c r="W42" s="17" t="n">
        <v>78.84</v>
      </c>
      <c r="X42" s="17" t="n">
        <v>537.36</v>
      </c>
      <c r="Y42" s="17" t="n"/>
      <c r="Z42" s="17" t="n"/>
      <c r="AA42" s="49">
        <f>SUM(M42:Z42)</f>
        <v/>
      </c>
      <c r="AB42" s="13" t="n"/>
    </row>
    <row r="43" ht="21" customHeight="1">
      <c r="A43" s="46" t="inlineStr">
        <is>
          <t>FRANCA</t>
        </is>
      </c>
      <c r="B43" s="15" t="inlineStr">
        <is>
          <t>CHAPA_40</t>
        </is>
      </c>
      <c r="C43" s="50">
        <f>AA43</f>
        <v/>
      </c>
      <c r="D43" s="50">
        <f>C43*0.1818</f>
        <v/>
      </c>
      <c r="E43" s="50">
        <f>SUM(C43:D43)</f>
        <v/>
      </c>
      <c r="F43" s="50">
        <f>E43*0.1111</f>
        <v/>
      </c>
      <c r="G43" s="50">
        <f>E43*0.083</f>
        <v/>
      </c>
      <c r="H43" s="50">
        <f>SUM(E43:G43)*0.08</f>
        <v/>
      </c>
      <c r="I43" s="47">
        <f>AA12</f>
        <v/>
      </c>
      <c r="J43" s="47">
        <f>IF(I12=0,0,VLOOKUP(#REF!,$B$6:$I$25,8,0))</f>
        <v/>
      </c>
      <c r="K43" s="48">
        <f>IF(E43+I43&lt;=$K$62,(E43+I43)*J79-J43,IF(E43+I43&lt;=$K$63,(E43+I43)*J80-J43,IF(E43+I43&lt;=$K$64,(E43+I43)*L81-J43,513.0125)))</f>
        <v/>
      </c>
      <c r="L43" s="9" t="n"/>
      <c r="M43" s="17" t="n">
        <v>78.83</v>
      </c>
      <c r="N43" s="17" t="n">
        <v>39.41</v>
      </c>
      <c r="O43" s="17" t="n">
        <v>78.83</v>
      </c>
      <c r="P43" s="17" t="n">
        <v>78.83</v>
      </c>
      <c r="Q43" s="17" t="n">
        <v>78.83</v>
      </c>
      <c r="R43" s="17" t="n">
        <v>70.95999999999999</v>
      </c>
      <c r="S43" s="17" t="n">
        <v>78.83</v>
      </c>
      <c r="T43" s="17" t="n">
        <v>78.83</v>
      </c>
      <c r="U43" s="17" t="n">
        <v>78.84</v>
      </c>
      <c r="V43" s="17" t="n">
        <v>54.17</v>
      </c>
      <c r="W43" s="17" t="n">
        <v>0</v>
      </c>
      <c r="X43" s="17" t="n">
        <v>485.26</v>
      </c>
      <c r="Y43" s="17" t="n"/>
      <c r="Z43" s="17" t="n"/>
      <c r="AA43" s="49">
        <f>SUM(M43:Z43)</f>
        <v/>
      </c>
      <c r="AB43" s="13" t="n"/>
    </row>
    <row r="44" ht="21" customHeight="1">
      <c r="A44" s="46" t="inlineStr">
        <is>
          <t>FRANCA</t>
        </is>
      </c>
      <c r="B44" s="15" t="inlineStr">
        <is>
          <t>CHAPA_41</t>
        </is>
      </c>
      <c r="C44" s="50">
        <f>AA44</f>
        <v/>
      </c>
      <c r="D44" s="50">
        <f>C44*0.1818</f>
        <v/>
      </c>
      <c r="E44" s="50">
        <f>SUM(C44:D44)</f>
        <v/>
      </c>
      <c r="F44" s="50">
        <f>E44*0.1111</f>
        <v/>
      </c>
      <c r="G44" s="50">
        <f>E44*0.083</f>
        <v/>
      </c>
      <c r="H44" s="50">
        <f>SUM(E44:G44)*0.08</f>
        <v/>
      </c>
      <c r="I44" s="47">
        <f>AA13</f>
        <v/>
      </c>
      <c r="J44" s="47">
        <f>IF(I13=0,0,VLOOKUP(B43,$B$6:$I$25,8,0))</f>
        <v/>
      </c>
      <c r="K44" s="48">
        <f>IF(E44+I44&lt;=$K$62,(E44+I44)*J80-J44,IF(E44+I44&lt;=$K$63,(E44+I44)*J81-J44,IF(E44+I44&lt;=$K$64,(E44+I44)*L82-J44,513.0125)))</f>
        <v/>
      </c>
      <c r="L44" s="9" t="n"/>
      <c r="M44" s="17" t="n">
        <v>78.83</v>
      </c>
      <c r="N44" s="17" t="n">
        <v>78.83</v>
      </c>
      <c r="O44" s="17" t="n">
        <v>78.83</v>
      </c>
      <c r="P44" s="17" t="n">
        <v>78.83</v>
      </c>
      <c r="Q44" s="17" t="n">
        <v>78.83</v>
      </c>
      <c r="R44" s="17" t="n">
        <v>78.83</v>
      </c>
      <c r="S44" s="17" t="n">
        <v>78.83</v>
      </c>
      <c r="T44" s="17" t="n">
        <v>78.83</v>
      </c>
      <c r="U44" s="17" t="n">
        <v>78.83</v>
      </c>
      <c r="V44" s="17" t="n">
        <v>78.84</v>
      </c>
      <c r="W44" s="17" t="n">
        <v>78.84</v>
      </c>
      <c r="X44" s="17" t="n">
        <v>467.79</v>
      </c>
      <c r="Y44" s="17" t="n"/>
      <c r="Z44" s="17" t="n"/>
      <c r="AA44" s="49">
        <f>SUM(M44:Z44)</f>
        <v/>
      </c>
      <c r="AB44" s="13" t="n"/>
    </row>
    <row r="45" ht="21" customHeight="1">
      <c r="A45" s="46" t="inlineStr">
        <is>
          <t>FRANCA</t>
        </is>
      </c>
      <c r="B45" s="15" t="inlineStr">
        <is>
          <t>CHAPA_29</t>
        </is>
      </c>
      <c r="C45" s="50">
        <f>AA45</f>
        <v/>
      </c>
      <c r="D45" s="50">
        <f>C45*0.1818</f>
        <v/>
      </c>
      <c r="E45" s="50">
        <f>SUM(C45:D45)</f>
        <v/>
      </c>
      <c r="F45" s="50">
        <f>E45*0.1111</f>
        <v/>
      </c>
      <c r="G45" s="50">
        <f>E45*0.083</f>
        <v/>
      </c>
      <c r="H45" s="50">
        <f>SUM(E45:G45)*0.08</f>
        <v/>
      </c>
      <c r="I45" s="47">
        <f>AA14</f>
        <v/>
      </c>
      <c r="J45" s="47">
        <f>IF(I14=0,0,VLOOKUP(B44,$B$6:$I$25,8,0))</f>
        <v/>
      </c>
      <c r="K45" s="48">
        <f>IF(E45+I45&lt;=$K$62,(E45+I45)*J81-J45,IF(E45+I45&lt;=$K$63,(E45+I45)*J82-J45,IF(E45+I45&lt;=$K$64,(E45+I45)*L83-J45,513.0125)))</f>
        <v/>
      </c>
      <c r="L45" s="9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>
        <v>336.7</v>
      </c>
      <c r="Y45" s="17" t="n"/>
      <c r="Z45" s="17" t="n"/>
      <c r="AA45" s="49">
        <f>SUM(M45:Z45)</f>
        <v/>
      </c>
      <c r="AB45" s="13" t="n"/>
    </row>
    <row r="46" ht="21" customHeight="1">
      <c r="A46" s="46" t="inlineStr">
        <is>
          <t>FRANCA</t>
        </is>
      </c>
      <c r="B46" s="15" t="inlineStr">
        <is>
          <t>CHAPA_10</t>
        </is>
      </c>
      <c r="C46" s="50">
        <f>AA46</f>
        <v/>
      </c>
      <c r="D46" s="50">
        <f>C46*0.1818</f>
        <v/>
      </c>
      <c r="E46" s="50">
        <f>SUM(C46:D46)</f>
        <v/>
      </c>
      <c r="F46" s="50">
        <f>E46*0.1111</f>
        <v/>
      </c>
      <c r="G46" s="50">
        <f>E46*0.083</f>
        <v/>
      </c>
      <c r="H46" s="50">
        <f>SUM(E46:G46)*0.08</f>
        <v/>
      </c>
      <c r="I46" s="47">
        <f>AA15</f>
        <v/>
      </c>
      <c r="J46" s="47">
        <f>IF(I15=0,0,VLOOKUP(B45,$B$6:$I$25,8,0))</f>
        <v/>
      </c>
      <c r="K46" s="48">
        <f>IF(E46+I46&lt;=$K$62,(E46+I46)*J82-J46,IF(E46+I46&lt;=$K$63,(E46+I46)*J83-J46,IF(E46+I46&lt;=$K$64,(E46+I46)*L84-J46,513.0125)))</f>
        <v/>
      </c>
      <c r="L46" s="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>
        <v>300.24</v>
      </c>
      <c r="Y46" s="17" t="n"/>
      <c r="Z46" s="17" t="n"/>
      <c r="AA46" s="49">
        <f>SUM(M46:Z46)</f>
        <v/>
      </c>
      <c r="AB46" s="13" t="n"/>
    </row>
    <row r="47" ht="21" customHeight="1">
      <c r="A47" s="46" t="inlineStr">
        <is>
          <t>FRANCA</t>
        </is>
      </c>
      <c r="B47" s="15" t="inlineStr">
        <is>
          <t>CHAPA_34</t>
        </is>
      </c>
      <c r="C47" s="50">
        <f>AA47</f>
        <v/>
      </c>
      <c r="D47" s="50">
        <f>C47*0.1818</f>
        <v/>
      </c>
      <c r="E47" s="50">
        <f>SUM(C47:D47)</f>
        <v/>
      </c>
      <c r="F47" s="50">
        <f>E47*0.1111</f>
        <v/>
      </c>
      <c r="G47" s="50">
        <f>E47*0.083</f>
        <v/>
      </c>
      <c r="H47" s="50">
        <f>SUM(E47:G47)*0.08</f>
        <v/>
      </c>
      <c r="I47" s="47">
        <f>AA16</f>
        <v/>
      </c>
      <c r="J47" s="47">
        <f>IF(I16=0,0,VLOOKUP(B47,$B$6:$I$25,8,0))</f>
        <v/>
      </c>
      <c r="K47" s="48">
        <f>IF(E47+I47&lt;=$K$62,(E47+I47)*J83-J47,IF(E47+I47&lt;=$K$63,(E47+I47)*J84-J47,IF(E47+I47&lt;=$K$64,(E47+I47)*L85-J47,513.0125)))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>
        <v>31.72</v>
      </c>
      <c r="Y47" s="17" t="n"/>
      <c r="Z47" s="17" t="n"/>
      <c r="AA47" s="49">
        <f>SUM(M47:Z47)</f>
        <v/>
      </c>
      <c r="AB47" s="13" t="n"/>
    </row>
    <row r="48" ht="21" customHeight="1">
      <c r="A48" s="46" t="inlineStr">
        <is>
          <t>FRANCA</t>
        </is>
      </c>
      <c r="B48" s="15" t="inlineStr">
        <is>
          <t>CHAPA_33</t>
        </is>
      </c>
      <c r="C48" s="50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IF(I17=0,0,VLOOKUP(B48,$B$6:$I$25,8,0))</f>
        <v/>
      </c>
      <c r="K48" s="48">
        <f>IF(E48+I48&lt;=$K$62,(E48+I48)*J84-J48,IF(E48+I48&lt;=$K$63,(E48+I48)*J85-J48,IF(E48+I48&lt;=$K$64,(E48+I48)*L86-J48,513.0125)))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>
        <v>113.3</v>
      </c>
      <c r="Y48" s="17" t="n"/>
      <c r="Z48" s="17" t="n"/>
      <c r="AA48" s="49">
        <f>SUM(M48:Z48)</f>
        <v/>
      </c>
      <c r="AB48" s="13" t="n"/>
    </row>
    <row r="49" ht="21" customHeight="1">
      <c r="A49" s="46" t="inlineStr">
        <is>
          <t>FRANCA</t>
        </is>
      </c>
      <c r="B49" s="15" t="n"/>
      <c r="C49" s="50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IF(I18=0,0,VLOOKUP(B49,$B$6:$I$25,8,0))</f>
        <v/>
      </c>
      <c r="K49" s="48">
        <f>IF(E49+I49&lt;=$K$62,(E49+I49)*J85-J49,IF(E49+I49&lt;=$K$63,(E49+I49)*J86-J49,IF(E49+I49&lt;=$K$64,(E49+I49)*L87-J49,513.0125)))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49">
        <f>SUM(M49:Z49)</f>
        <v/>
      </c>
      <c r="AB49" s="13" t="n"/>
    </row>
    <row r="50" ht="21" customHeight="1">
      <c r="A50" s="46" t="inlineStr">
        <is>
          <t>FRANCA</t>
        </is>
      </c>
      <c r="B50" s="15" t="n"/>
      <c r="C50" s="50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IF(I19=0,0,VLOOKUP(B50,$B$6:$I$25,8,0))</f>
        <v/>
      </c>
      <c r="K50" s="48">
        <f>IF(E50+I50&lt;=$K$62,(E50+I50)*J86-J50,IF(E50+I50&lt;=$K$63,(E50+I50)*J87-J50,IF(E50+I50&lt;=$K$64,(E50+I50)*L88-J50,513.0125)))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51" t="n"/>
      <c r="AA50" s="49">
        <f>SUM(M50:Z50)</f>
        <v/>
      </c>
      <c r="AB50" s="13" t="n"/>
    </row>
    <row r="51" ht="21" customHeight="1">
      <c r="A51" s="46" t="inlineStr">
        <is>
          <t>FRANCA</t>
        </is>
      </c>
      <c r="B51" s="15" t="n"/>
      <c r="C51" s="50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IF(I20=0,0,VLOOKUP(B51,$B$6:$I$25,8,0))</f>
        <v/>
      </c>
      <c r="K51" s="48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51" t="n"/>
      <c r="AA51" s="49">
        <f>SUM(M51:Z51)</f>
        <v/>
      </c>
      <c r="AB51" s="13" t="n"/>
    </row>
    <row r="52" ht="21" customHeight="1">
      <c r="A52" s="46" t="inlineStr">
        <is>
          <t>FRANCA</t>
        </is>
      </c>
      <c r="B52" s="15" t="n"/>
      <c r="C52" s="50">
        <f>AA52</f>
        <v/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IF(I21=0,0,VLOOKUP(B52,$B$6:$I$25,8,0))</f>
        <v/>
      </c>
      <c r="K52" s="48">
        <f>IF(E52+I52&lt;=$K$62,(E52+I52)*J88-J52,IF(E52+I52&lt;=$K$63,(E52+I52)*J89-J52,IF(E52+I52&lt;=$K$64,(E52+I52)*L90-J52,513.0125)))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51" t="n"/>
      <c r="AA52" s="49">
        <f>SUM(M52:Z52)</f>
        <v/>
      </c>
      <c r="AB52" s="13" t="n"/>
    </row>
    <row r="53" ht="21" customHeight="1">
      <c r="A53" s="46" t="inlineStr">
        <is>
          <t>FRANCA</t>
        </is>
      </c>
      <c r="B53" s="15" t="n"/>
      <c r="C53" s="50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IF(E53+I53&lt;=$K$62,(E53+I53)*J89-J53,IF(E53+I53&lt;=$K$63,(E53+I53)*J90-J53,IF(E53+I53&lt;=$K$64,(E53+I53)*L91-J53,513.0125)))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51" t="n"/>
      <c r="Z53" s="51" t="n"/>
      <c r="AA53" s="49">
        <f>SUM(M53:Z53)</f>
        <v/>
      </c>
      <c r="AB53" s="13" t="n"/>
    </row>
    <row r="54" ht="21" customHeight="1">
      <c r="A54" s="46" t="inlineStr">
        <is>
          <t>FRANCA</t>
        </is>
      </c>
      <c r="B54" s="15" t="n"/>
      <c r="C54" s="50">
        <f>AA54</f>
        <v/>
      </c>
      <c r="D54" s="50">
        <f>C54*0.1818</f>
        <v/>
      </c>
      <c r="E54" s="50">
        <f>SUM(C54:D54)</f>
        <v/>
      </c>
      <c r="F54" s="50">
        <f>E54*0.1111</f>
        <v/>
      </c>
      <c r="G54" s="50">
        <f>E54*0.083</f>
        <v/>
      </c>
      <c r="H54" s="50">
        <f>SUM(E54:G54)*0.08</f>
        <v/>
      </c>
      <c r="I54" s="47">
        <f>AA23</f>
        <v/>
      </c>
      <c r="J54" s="47">
        <f>IF(I23=0,0,VLOOKUP(B54,$B$6:$I$25,8,0))</f>
        <v/>
      </c>
      <c r="K54" s="48">
        <f>IF(E54+I54&lt;=$K$62,(E54+I54)*J90-J54,IF(E54+I54&lt;=$K$63,(E54+I54)*J91-J54,IF(E54+I54&lt;=$K$64,(E54+I54)*L92-J54,513.0125)))</f>
        <v/>
      </c>
      <c r="L54" s="9" t="n"/>
      <c r="M54" s="17" t="n"/>
      <c r="N54" s="52" t="n"/>
      <c r="O54" s="52" t="n"/>
      <c r="P54" s="17" t="n"/>
      <c r="Q54" s="52" t="n"/>
      <c r="R54" s="17" t="n"/>
      <c r="S54" s="52" t="n"/>
      <c r="T54" s="17" t="n"/>
      <c r="U54" s="17" t="n"/>
      <c r="V54" s="52" t="n"/>
      <c r="W54" s="51" t="n"/>
      <c r="X54" s="51" t="n"/>
      <c r="Y54" s="51" t="n"/>
      <c r="Z54" s="51" t="n"/>
      <c r="AA54" s="49">
        <f>SUM(M54:Z54)</f>
        <v/>
      </c>
      <c r="AB54" s="13" t="n"/>
    </row>
    <row r="55" ht="21" customHeight="1">
      <c r="A55" s="46" t="inlineStr">
        <is>
          <t>FRANCA</t>
        </is>
      </c>
      <c r="B55" s="15" t="n"/>
      <c r="C55" s="50">
        <f>AA55</f>
        <v/>
      </c>
      <c r="D55" s="50">
        <f>C55*0.1818</f>
        <v/>
      </c>
      <c r="E55" s="50">
        <f>SUM(C55:D55)</f>
        <v/>
      </c>
      <c r="F55" s="50">
        <f>E55*0.1111</f>
        <v/>
      </c>
      <c r="G55" s="50">
        <f>E55*0.083</f>
        <v/>
      </c>
      <c r="H55" s="50">
        <f>SUM(E55:G55)*0.08</f>
        <v/>
      </c>
      <c r="I55" s="47">
        <f>AA24</f>
        <v/>
      </c>
      <c r="J55" s="47">
        <f>IF(I24=0,0,VLOOKUP(B55,$B$6:$I$25,8,0))</f>
        <v/>
      </c>
      <c r="K55" s="48">
        <f>IF(E55+I55&lt;=$K$62,(E55+I55)*J91-J55,IF(E55+I55&lt;=$K$63,(E55+I55)*J92-J55,IF(E55+I55&lt;=$K$64,(E55+I55)*L93-J55,513.0125)))</f>
        <v/>
      </c>
      <c r="L55" s="9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1" t="n"/>
      <c r="X55" s="51" t="n"/>
      <c r="Y55" s="51" t="n"/>
      <c r="Z55" s="51" t="n"/>
      <c r="AA55" s="49">
        <f>SUM(M55:Z55)</f>
        <v/>
      </c>
      <c r="AB55" s="13" t="n"/>
    </row>
    <row r="56" ht="21.6" customHeight="1" thickBot="1">
      <c r="A56" s="46" t="inlineStr">
        <is>
          <t>FRANCA</t>
        </is>
      </c>
      <c r="B56" s="53" t="n"/>
      <c r="C56" s="54">
        <f>AA56</f>
        <v/>
      </c>
      <c r="D56" s="54">
        <f>C56*0.1818</f>
        <v/>
      </c>
      <c r="E56" s="54">
        <f>SUM(C56:D56)</f>
        <v/>
      </c>
      <c r="F56" s="54">
        <f>E56*0.1111</f>
        <v/>
      </c>
      <c r="G56" s="54">
        <f>E56*0.083</f>
        <v/>
      </c>
      <c r="H56" s="54">
        <f>SUM(E56:G56)*0.08</f>
        <v/>
      </c>
      <c r="I56" s="55">
        <f>AA25</f>
        <v/>
      </c>
      <c r="J56" s="55">
        <f>IF(I25=0,0,VLOOKUP(B56,$B$6:$I$25,8,0))</f>
        <v/>
      </c>
      <c r="K56" s="56">
        <f>IF(E56+I56&lt;=$K$62,(E56+I56)*J92-J56,IF(E56+I56&lt;=$K$63,(E56+I56)*J93-J56,IF(E56+I56&lt;=$K$64,(E56+I56)*L94-J56,513.0125)))</f>
        <v/>
      </c>
      <c r="L56" s="9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49">
        <f>SUM(M56:Z56)</f>
        <v/>
      </c>
      <c r="AB56" s="13" t="n"/>
    </row>
    <row r="57" ht="21" customHeight="1" thickBo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28" t="n"/>
      <c r="N57" s="28">
        <f>COUNT(#REF!)</f>
        <v/>
      </c>
      <c r="O57" s="28">
        <f>COUNT(#REF!)</f>
        <v/>
      </c>
      <c r="P57" s="28" t="n">
        <v>29</v>
      </c>
      <c r="Q57" s="28">
        <f>COUNT(#REF!)</f>
        <v/>
      </c>
      <c r="R57" s="28">
        <f>COUNT(#REF!)</f>
        <v/>
      </c>
      <c r="S57" s="28">
        <f>COUNT(#REF!)</f>
        <v/>
      </c>
      <c r="T57" s="28" t="n"/>
      <c r="U57" s="28">
        <f>COUNT(#REF!)</f>
        <v/>
      </c>
      <c r="V57" s="28">
        <f>COUNT(#REF!)</f>
        <v/>
      </c>
      <c r="W57" s="28" t="n"/>
      <c r="X57" s="28" t="n"/>
      <c r="Y57" s="28" t="n"/>
      <c r="Z57" s="28" t="n"/>
      <c r="AA57" s="28" t="n"/>
      <c r="AB57" s="10" t="n"/>
    </row>
    <row r="58" ht="21" customHeight="1">
      <c r="L58" s="10" t="n"/>
      <c r="M58" s="29" t="inlineStr">
        <is>
          <t>TOTAL GERAL / BOLETIM ENSACADORES:</t>
        </is>
      </c>
      <c r="N58" s="30" t="n"/>
      <c r="O58" s="30" t="n"/>
      <c r="P58" s="30" t="n"/>
      <c r="Q58" s="30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2" t="inlineStr">
        <is>
          <t>TOTAL:</t>
        </is>
      </c>
    </row>
    <row r="59" ht="21" customHeight="1">
      <c r="L59" s="10" t="n"/>
      <c r="M59" s="33">
        <f>SUM(M35:M56)</f>
        <v/>
      </c>
      <c r="N59" s="33">
        <f>SUM(N35:N56)</f>
        <v/>
      </c>
      <c r="O59" s="33" t="n">
        <v>788.37</v>
      </c>
      <c r="P59" s="33">
        <f>SUM(P35:P56)</f>
        <v/>
      </c>
      <c r="Q59" s="33">
        <f>SUM(Q35:Q55)</f>
        <v/>
      </c>
      <c r="R59" s="33">
        <f>SUM(R35:R56)</f>
        <v/>
      </c>
      <c r="S59" s="33">
        <f>SUM(S35:S56)</f>
        <v/>
      </c>
      <c r="T59" s="33">
        <f>SUM(T35:T56)</f>
        <v/>
      </c>
      <c r="U59" s="33">
        <f>SUM(U35:U56)</f>
        <v/>
      </c>
      <c r="V59" s="33">
        <f>SUM(V35:V56)</f>
        <v/>
      </c>
      <c r="W59" s="33">
        <f>SUM(W35:W56)</f>
        <v/>
      </c>
      <c r="X59" s="33">
        <f>SUM(X35:X56)</f>
        <v/>
      </c>
      <c r="Y59" s="33" t="n">
        <v>0</v>
      </c>
      <c r="Z59" s="33" t="n">
        <v>0</v>
      </c>
      <c r="AA59" s="34" t="n"/>
      <c r="AB59" s="35">
        <f>SUM(M59:Z59)</f>
        <v/>
      </c>
    </row>
    <row r="60" ht="20.4" customHeight="1">
      <c r="L60" s="10" t="n"/>
    </row>
    <row r="61" ht="20.4" customHeight="1">
      <c r="L61" s="10" t="n"/>
    </row>
  </sheetData>
  <mergeCells count="7">
    <mergeCell ref="M33:AB33"/>
    <mergeCell ref="A2:H2"/>
    <mergeCell ref="A33:K33"/>
    <mergeCell ref="A3:I3"/>
    <mergeCell ref="M4:AA4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6"/>
  <sheetViews>
    <sheetView topLeftCell="E37" zoomScale="55" zoomScaleNormal="55" workbookViewId="0">
      <selection activeCell="M63" sqref="M63:AB64"/>
    </sheetView>
  </sheetViews>
  <sheetFormatPr baseColWidth="8" defaultColWidth="22.6640625" defaultRowHeight="14.4"/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45717</v>
      </c>
      <c r="N5" s="11" t="n">
        <v>45719</v>
      </c>
      <c r="O5" s="11" t="n">
        <v>45720</v>
      </c>
      <c r="P5" s="11" t="n">
        <v>45721</v>
      </c>
      <c r="Q5" s="11" t="n">
        <v>45722</v>
      </c>
      <c r="R5" s="11" t="n">
        <v>45723</v>
      </c>
      <c r="S5" s="11" t="n">
        <v>45724</v>
      </c>
      <c r="T5" s="11" t="n">
        <v>45726</v>
      </c>
      <c r="U5" s="11" t="n">
        <v>45727</v>
      </c>
      <c r="V5" s="11" t="n">
        <v>45728</v>
      </c>
      <c r="W5" s="11" t="n">
        <v>45729</v>
      </c>
      <c r="X5" s="11" t="n">
        <v>45730</v>
      </c>
      <c r="Y5" s="11" t="n">
        <v>45731</v>
      </c>
      <c r="Z5" s="11" t="n"/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15" t="inlineStr">
        <is>
          <t>CHAPA_04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/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22" t="inlineStr">
        <is>
          <t>CHAPA_06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63.1</v>
      </c>
      <c r="N7" s="17" t="n">
        <v>0</v>
      </c>
      <c r="O7" s="17" t="n">
        <v>0</v>
      </c>
      <c r="P7" s="17" t="n">
        <v>99.2</v>
      </c>
      <c r="Q7" s="17" t="n">
        <v>99.19</v>
      </c>
      <c r="R7" s="17" t="n">
        <v>99.2</v>
      </c>
      <c r="S7" s="17" t="n">
        <v>0</v>
      </c>
      <c r="T7" s="17" t="n">
        <v>45.1</v>
      </c>
      <c r="U7" s="17" t="n">
        <v>99.19</v>
      </c>
      <c r="V7" s="17" t="n">
        <v>99.19</v>
      </c>
      <c r="W7" s="17" t="n">
        <v>167.88</v>
      </c>
      <c r="X7" s="17" t="n">
        <v>99.19</v>
      </c>
      <c r="Y7" s="17" t="n">
        <v>0</v>
      </c>
      <c r="Z7" s="17" t="n"/>
      <c r="AA7" s="18">
        <f>SUM(M7:Z7)</f>
        <v/>
      </c>
      <c r="AB7" s="13" t="n"/>
    </row>
    <row r="8" ht="21" customHeight="1">
      <c r="A8" s="14" t="inlineStr">
        <is>
          <t>FRANCA</t>
        </is>
      </c>
      <c r="B8" s="15" t="inlineStr">
        <is>
          <t>CHAPA_10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/>
      <c r="AA8" s="18">
        <f>SUM(M8:Z8)</f>
        <v/>
      </c>
      <c r="AB8" s="13" t="n"/>
    </row>
    <row r="9" ht="21" customHeight="1">
      <c r="A9" s="14" t="inlineStr">
        <is>
          <t>FRANCA</t>
        </is>
      </c>
      <c r="B9" s="4" t="inlineStr">
        <is>
          <t>CHAPA_11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/>
      <c r="AA9" s="18">
        <f>SUM(M9:Z9)</f>
        <v/>
      </c>
      <c r="AB9" s="13" t="n"/>
    </row>
    <row r="10" ht="21" customHeight="1">
      <c r="A10" s="14" t="inlineStr">
        <is>
          <t>FRANCA</t>
        </is>
      </c>
      <c r="B10" s="24" t="inlineStr">
        <is>
          <t>CHAPA_15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90.17</v>
      </c>
      <c r="N10" s="17" t="n">
        <v>45.08</v>
      </c>
      <c r="O10" s="17" t="n">
        <v>0</v>
      </c>
      <c r="P10" s="17" t="n">
        <v>99.2</v>
      </c>
      <c r="Q10" s="17" t="n">
        <v>99.19</v>
      </c>
      <c r="R10" s="17" t="n">
        <v>99.2</v>
      </c>
      <c r="S10" s="17" t="n">
        <v>60.76</v>
      </c>
      <c r="T10" s="17" t="n">
        <v>99.2</v>
      </c>
      <c r="U10" s="17" t="n">
        <v>99.19</v>
      </c>
      <c r="V10" s="17" t="n">
        <v>99.19</v>
      </c>
      <c r="W10" s="17" t="n">
        <v>100.27</v>
      </c>
      <c r="X10" s="17" t="n">
        <v>99.19</v>
      </c>
      <c r="Y10" s="17" t="n">
        <v>62.99</v>
      </c>
      <c r="Z10" s="17" t="n"/>
      <c r="AA10" s="18">
        <f>SUM(M10:Z10)</f>
        <v/>
      </c>
      <c r="AB10" s="13" t="n"/>
    </row>
    <row r="11" ht="21" customHeight="1">
      <c r="A11" s="14" t="inlineStr">
        <is>
          <t>FRANCA</t>
        </is>
      </c>
      <c r="B11" s="22" t="inlineStr">
        <is>
          <t>CHAPA_16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/>
      <c r="AA11" s="18">
        <f>SUM(M11:Z11)</f>
        <v/>
      </c>
      <c r="AB11" s="13" t="n"/>
    </row>
    <row r="12" ht="21" customHeight="1">
      <c r="A12" s="14" t="inlineStr">
        <is>
          <t>FRANCA</t>
        </is>
      </c>
      <c r="B12" s="15" t="inlineStr">
        <is>
          <t>CHAPA_20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>
        <v>90.17</v>
      </c>
      <c r="N12" s="21" t="n">
        <v>0</v>
      </c>
      <c r="O12" s="21" t="n">
        <v>0</v>
      </c>
      <c r="P12" s="21" t="n">
        <v>99.19</v>
      </c>
      <c r="Q12" s="21" t="n">
        <v>99.19</v>
      </c>
      <c r="R12" s="21" t="n">
        <v>99.19</v>
      </c>
      <c r="S12" s="21" t="n">
        <v>60.76</v>
      </c>
      <c r="T12" s="17" t="n">
        <v>99.19</v>
      </c>
      <c r="U12" s="17" t="n">
        <v>99.19</v>
      </c>
      <c r="V12" s="17" t="n">
        <v>99.19</v>
      </c>
      <c r="W12" s="17" t="n">
        <v>99.2</v>
      </c>
      <c r="X12" s="17" t="n">
        <v>99.2</v>
      </c>
      <c r="Y12" s="17" t="n">
        <v>0</v>
      </c>
      <c r="Z12" s="17" t="n"/>
      <c r="AA12" s="18">
        <f>SUM(M12:Z12)</f>
        <v/>
      </c>
      <c r="AB12" s="13" t="n"/>
    </row>
    <row r="13" ht="21" customHeight="1">
      <c r="A13" s="14" t="inlineStr">
        <is>
          <t>FRANCA</t>
        </is>
      </c>
      <c r="B13" s="15" t="inlineStr">
        <is>
          <t>CHAPA_26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/>
      <c r="AA13" s="18">
        <f>SUM(M13:Z13)</f>
        <v/>
      </c>
      <c r="AB13" s="13" t="n"/>
    </row>
    <row r="14" ht="21" customHeight="1">
      <c r="A14" s="14" t="inlineStr">
        <is>
          <t>FRANCA</t>
        </is>
      </c>
      <c r="B14" s="24" t="inlineStr">
        <is>
          <t>CHAPA_32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107.07</v>
      </c>
      <c r="N14" s="17" t="n">
        <v>0</v>
      </c>
      <c r="O14" s="17" t="n">
        <v>0</v>
      </c>
      <c r="P14" s="17" t="n">
        <v>99.19</v>
      </c>
      <c r="Q14" s="17" t="n">
        <v>99.2</v>
      </c>
      <c r="R14" s="17" t="n">
        <v>99.19</v>
      </c>
      <c r="S14" s="17" t="n">
        <v>95.78</v>
      </c>
      <c r="T14" s="17" t="n">
        <v>158.36</v>
      </c>
      <c r="U14" s="17" t="n">
        <v>99.19</v>
      </c>
      <c r="V14" s="17" t="n">
        <v>99.19</v>
      </c>
      <c r="W14" s="17" t="n">
        <v>167.88</v>
      </c>
      <c r="X14" s="17" t="n">
        <v>133</v>
      </c>
      <c r="Y14" s="17" t="n">
        <v>129.6</v>
      </c>
      <c r="Z14" s="17" t="n"/>
      <c r="AA14" s="18">
        <f>SUM(M14:Z14)</f>
        <v/>
      </c>
      <c r="AB14" s="13" t="n"/>
    </row>
    <row r="15" ht="21" customHeight="1">
      <c r="A15" s="14" t="inlineStr">
        <is>
          <t>FRANCA</t>
        </is>
      </c>
      <c r="B15" s="22" t="inlineStr">
        <is>
          <t>CHAPA_36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>
        <v>90.17</v>
      </c>
      <c r="N15" s="17" t="n">
        <v>0</v>
      </c>
      <c r="O15" s="17" t="n">
        <v>189.37</v>
      </c>
      <c r="P15" s="17" t="n">
        <v>99.19</v>
      </c>
      <c r="Q15" s="17" t="n">
        <v>99.2</v>
      </c>
      <c r="R15" s="17" t="n">
        <v>99.19</v>
      </c>
      <c r="S15" s="17" t="n">
        <v>95.78</v>
      </c>
      <c r="T15" s="17" t="n">
        <v>158.36</v>
      </c>
      <c r="U15" s="17" t="n">
        <v>99.19</v>
      </c>
      <c r="V15" s="17" t="n">
        <v>99.19</v>
      </c>
      <c r="W15" s="17" t="n">
        <v>167.88</v>
      </c>
      <c r="X15" s="17" t="n">
        <v>133</v>
      </c>
      <c r="Y15" s="17" t="n">
        <v>129.6</v>
      </c>
      <c r="Z15" s="17" t="n"/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15" t="inlineStr">
        <is>
          <t>CHAPA_38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>
        <v>90.17</v>
      </c>
      <c r="N16" s="17" t="n">
        <v>99.2</v>
      </c>
      <c r="O16" s="17" t="n">
        <v>0</v>
      </c>
      <c r="P16" s="17" t="n">
        <v>99.19</v>
      </c>
      <c r="Q16" s="17" t="n">
        <v>99.19</v>
      </c>
      <c r="R16" s="17" t="n">
        <v>99.19</v>
      </c>
      <c r="S16" s="17" t="n">
        <v>60.76</v>
      </c>
      <c r="T16" s="17" t="n">
        <v>99.19</v>
      </c>
      <c r="U16" s="17" t="n">
        <v>99.19</v>
      </c>
      <c r="V16" s="17" t="n">
        <v>99.19</v>
      </c>
      <c r="W16" s="17" t="n">
        <v>167.88</v>
      </c>
      <c r="X16" s="17" t="n">
        <v>133</v>
      </c>
      <c r="Y16" s="17" t="n">
        <v>129.6</v>
      </c>
      <c r="Z16" s="17" t="n"/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15" t="inlineStr">
        <is>
          <t>CHAPA_40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>
        <v>36.06</v>
      </c>
      <c r="N17" s="17" t="n">
        <v>0</v>
      </c>
      <c r="O17" s="17" t="n">
        <v>0</v>
      </c>
      <c r="P17" s="17" t="n">
        <v>99.19</v>
      </c>
      <c r="Q17" s="17" t="n">
        <v>99.19</v>
      </c>
      <c r="R17" s="17" t="n">
        <v>99.19</v>
      </c>
      <c r="S17" s="17" t="n">
        <v>0</v>
      </c>
      <c r="T17" s="17" t="n">
        <v>99.19</v>
      </c>
      <c r="U17" s="17" t="n">
        <v>99.2</v>
      </c>
      <c r="V17" s="17" t="n">
        <v>99.2</v>
      </c>
      <c r="W17" s="17" t="n">
        <v>100.27</v>
      </c>
      <c r="X17" s="17" t="n">
        <v>99.2</v>
      </c>
      <c r="Y17" s="17" t="n">
        <v>62.99</v>
      </c>
      <c r="Z17" s="17" t="n"/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inlineStr">
        <is>
          <t>CHAPA_41</t>
        </is>
      </c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>
        <v>90.17</v>
      </c>
      <c r="N18" s="17" t="n">
        <v>0</v>
      </c>
      <c r="O18" s="17" t="n">
        <v>189.37</v>
      </c>
      <c r="P18" s="17" t="n">
        <v>99.19</v>
      </c>
      <c r="Q18" s="17" t="n">
        <v>99.19</v>
      </c>
      <c r="R18" s="17" t="n">
        <v>99.19</v>
      </c>
      <c r="S18" s="17" t="n">
        <v>95.72</v>
      </c>
      <c r="T18" s="17" t="n">
        <v>99.19</v>
      </c>
      <c r="U18" s="17" t="n">
        <v>99.2</v>
      </c>
      <c r="V18" s="17" t="n">
        <v>99.2</v>
      </c>
      <c r="W18" s="17" t="n">
        <v>167.88</v>
      </c>
      <c r="X18" s="17" t="n">
        <v>99.2</v>
      </c>
      <c r="Y18" s="17" t="n">
        <v>62.99</v>
      </c>
      <c r="Z18" s="17" t="n"/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inlineStr">
        <is>
          <t>CHAPA_23</t>
        </is>
      </c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>
        <v>0</v>
      </c>
      <c r="N19" s="17" t="n">
        <v>0</v>
      </c>
      <c r="O19" s="17" t="n">
        <v>0</v>
      </c>
      <c r="P19" s="17" t="n">
        <v>99.19</v>
      </c>
      <c r="Q19" s="17" t="n">
        <v>99.19</v>
      </c>
      <c r="R19" s="17" t="n">
        <v>99.19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.6" customHeight="1" thickBot="1">
      <c r="A27" s="36" t="inlineStr">
        <is>
          <t>MÉDIA DIÁRIA CHAPAS</t>
        </is>
      </c>
      <c r="B27" s="36" t="n"/>
      <c r="C27" s="37" t="n">
        <v>9</v>
      </c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" customHeight="1"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 t="n"/>
      <c r="AA28" s="34" t="n"/>
      <c r="AB28" s="35">
        <f>SUM(M28:Z28)</f>
        <v/>
      </c>
    </row>
    <row r="29" ht="20.4" customHeight="1">
      <c r="J29" s="10" t="n"/>
      <c r="K29" s="10" t="n"/>
      <c r="L29" s="10" t="n"/>
    </row>
    <row r="30" ht="20.4" customHeight="1"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/>
    <row r="32"/>
    <row r="33" customFormat="1" s="59"/>
    <row r="34"/>
    <row r="35" ht="15" customHeight="1" thickBot="1"/>
    <row r="36" ht="21" customHeight="1" thickBot="1">
      <c r="A36" s="111" t="inlineStr">
        <is>
          <t>2ª QUINZENA</t>
        </is>
      </c>
      <c r="B36" s="107" t="n"/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8" t="n"/>
      <c r="L36" s="4" t="n"/>
      <c r="M36" s="112" t="inlineStr">
        <is>
          <t xml:space="preserve">TOTAL </t>
        </is>
      </c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10" t="n"/>
      <c r="AC36" s="2" t="n"/>
    </row>
    <row r="37" ht="21.6" customHeight="1" thickBot="1">
      <c r="A37" s="40" t="inlineStr">
        <is>
          <t>LOCAL</t>
        </is>
      </c>
      <c r="B37" s="40" t="inlineStr">
        <is>
          <t>NOME</t>
        </is>
      </c>
      <c r="C37" s="41" t="inlineStr">
        <is>
          <t>DIÁRIA</t>
        </is>
      </c>
      <c r="D37" s="41" t="inlineStr">
        <is>
          <t>DSR</t>
        </is>
      </c>
      <c r="E37" s="41" t="inlineStr">
        <is>
          <t>TOTAL</t>
        </is>
      </c>
      <c r="F37" s="41" t="inlineStr">
        <is>
          <t>FÉRIAS</t>
        </is>
      </c>
      <c r="G37" s="41" t="inlineStr">
        <is>
          <t>13º SALÁRIO</t>
        </is>
      </c>
      <c r="H37" s="41" t="inlineStr">
        <is>
          <t>FGTS</t>
        </is>
      </c>
      <c r="I37" s="42" t="inlineStr">
        <is>
          <t>T. 1º Q.</t>
        </is>
      </c>
      <c r="J37" s="42" t="inlineStr">
        <is>
          <t>INSS 1º</t>
        </is>
      </c>
      <c r="K37" s="43" t="inlineStr">
        <is>
          <t>INSS</t>
        </is>
      </c>
      <c r="L37" s="9" t="n"/>
      <c r="M37" s="44" t="n">
        <v>45733</v>
      </c>
      <c r="N37" s="44" t="n">
        <v>45734</v>
      </c>
      <c r="O37" s="44" t="n">
        <v>45735</v>
      </c>
      <c r="P37" s="44" t="n">
        <v>45736</v>
      </c>
      <c r="Q37" s="44" t="n">
        <v>45737</v>
      </c>
      <c r="R37" s="44" t="n">
        <v>45738</v>
      </c>
      <c r="S37" s="44" t="n">
        <v>45740</v>
      </c>
      <c r="T37" s="44" t="n">
        <v>45741</v>
      </c>
      <c r="U37" s="44" t="n">
        <v>45742</v>
      </c>
      <c r="V37" s="44" t="n">
        <v>45743</v>
      </c>
      <c r="W37" s="44" t="n">
        <v>45744</v>
      </c>
      <c r="X37" s="44" t="n">
        <v>45745</v>
      </c>
      <c r="Y37" s="44" t="n">
        <v>45747</v>
      </c>
      <c r="Z37" s="45" t="n"/>
      <c r="AA37" s="8" t="inlineStr">
        <is>
          <t>TOTAL</t>
        </is>
      </c>
      <c r="AB37" s="13" t="n"/>
      <c r="AC37" s="13" t="n"/>
    </row>
    <row r="38" ht="21" customHeight="1">
      <c r="A38" s="46" t="inlineStr">
        <is>
          <t>FRANCA</t>
        </is>
      </c>
      <c r="B38" s="22" t="inlineStr">
        <is>
          <t>CHAPA_06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47">
        <f>IF(I9=0,0,VLOOKUP(B38,$B$6:$I$25,8,0))</f>
        <v/>
      </c>
      <c r="K38" s="48">
        <f>IF(E38+I38&lt;=$K$62,(E38+I38)*J74-J38,IF(E38+I38&lt;=$K$63,(E38+I38)*J75-J38,IF(E38+I38&lt;=$K$64,(E38+I38)*L76-J38,513.0125)))</f>
        <v/>
      </c>
      <c r="L38" s="9" t="n"/>
      <c r="M38" s="17" t="n">
        <v>99.19</v>
      </c>
      <c r="N38" s="17" t="n">
        <v>99.19</v>
      </c>
      <c r="O38" s="17" t="n">
        <v>99.19</v>
      </c>
      <c r="P38" s="17" t="n">
        <v>0</v>
      </c>
      <c r="Q38" s="17" t="n">
        <v>0</v>
      </c>
      <c r="R38" s="17" t="n">
        <v>0</v>
      </c>
      <c r="S38" s="17" t="n">
        <v>99.19</v>
      </c>
      <c r="T38" s="17" t="n">
        <v>99.2</v>
      </c>
      <c r="U38" s="17" t="n">
        <v>99.19</v>
      </c>
      <c r="V38" s="17" t="n">
        <v>104.87</v>
      </c>
      <c r="W38" s="17" t="n">
        <v>99.19</v>
      </c>
      <c r="X38" s="17" t="n">
        <v>45.08</v>
      </c>
      <c r="Y38" s="17" t="n">
        <v>99.19</v>
      </c>
      <c r="Z38" s="17" t="n"/>
      <c r="AA38" s="49">
        <f>SUM(M38:Z38)</f>
        <v/>
      </c>
      <c r="AB38" s="13" t="n"/>
      <c r="AC38" s="13" t="n"/>
    </row>
    <row r="39" ht="21" customHeight="1">
      <c r="A39" s="46" t="inlineStr">
        <is>
          <t>FRANCA</t>
        </is>
      </c>
      <c r="B39" s="24" t="inlineStr">
        <is>
          <t>CHAPA_15</t>
        </is>
      </c>
      <c r="C39" s="10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47">
        <f>IF(#REF!=0,0,VLOOKUP(B39,$B$6:$I$25,8,0))</f>
        <v/>
      </c>
      <c r="K39" s="48">
        <f>IF(E39+I39&lt;=$K$62,(E39+I39)*J75-J39,IF(E39+I39&lt;=$K$63,(E39+I39)*J76-J39,IF(E39+I39&lt;=$K$64,(E39+I39)*L77-J39,513.0125)))</f>
        <v/>
      </c>
      <c r="L39" s="9" t="n"/>
      <c r="M39" s="17" t="n">
        <v>99.19</v>
      </c>
      <c r="N39" s="17" t="n">
        <v>45.11</v>
      </c>
      <c r="O39" s="17" t="n">
        <v>99.19</v>
      </c>
      <c r="P39" s="17" t="n">
        <v>111.36</v>
      </c>
      <c r="Q39" s="17" t="n">
        <v>99.19</v>
      </c>
      <c r="R39" s="17" t="n">
        <v>0</v>
      </c>
      <c r="S39" s="17" t="n">
        <v>99.19</v>
      </c>
      <c r="T39" s="17" t="n">
        <v>99.2</v>
      </c>
      <c r="U39" s="17" t="n">
        <v>99.19</v>
      </c>
      <c r="V39" s="17" t="n">
        <v>104.87</v>
      </c>
      <c r="W39" s="17" t="n">
        <v>99.19</v>
      </c>
      <c r="X39" s="17" t="n">
        <v>45.08</v>
      </c>
      <c r="Y39" s="17" t="n">
        <v>0</v>
      </c>
      <c r="Z39" s="17" t="n"/>
      <c r="AA39" s="49">
        <f>SUM(M39:Z39)</f>
        <v/>
      </c>
      <c r="AB39" s="13" t="n"/>
      <c r="AC39" s="13" t="n"/>
    </row>
    <row r="40" ht="21" customHeight="1">
      <c r="A40" s="46" t="inlineStr">
        <is>
          <t>FRANCA</t>
        </is>
      </c>
      <c r="B40" s="22" t="inlineStr">
        <is>
          <t>CHAPA_16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IF(E40&lt;=$F$69,E40*$G$69,IF(E40&lt;=$F$70,E40*$G$70,IF(E40&lt;=$F$71,E40*$G$71,513.0125)))</f>
        <v/>
      </c>
      <c r="J40" s="47">
        <f>IF(I10=0,0,VLOOKUP(B40,$B$6:$I$25,8,0))</f>
        <v/>
      </c>
      <c r="K40" s="48">
        <f>IF(E40+I40&lt;=$K$62,(E40+I40)*J76-J40,IF(E40+I40&lt;=$K$63,(E40+I40)*J77-J40,IF(E40+I40&lt;=$K$64,(E40+I40)*L78-J40,513.0125)))</f>
        <v/>
      </c>
      <c r="L40" s="9" t="n"/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/>
      <c r="AA40" s="49">
        <f>SUM(M40:Z40)</f>
        <v/>
      </c>
      <c r="AB40" s="13" t="n"/>
      <c r="AC40" s="13" t="n"/>
    </row>
    <row r="41" ht="21" customHeight="1">
      <c r="A41" s="46" t="inlineStr">
        <is>
          <t>FRANCA</t>
        </is>
      </c>
      <c r="B41" s="15" t="inlineStr">
        <is>
          <t>CHAPA_20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47">
        <f>IF(I11=0,0,VLOOKUP(B41,$B$6:$I$25,8,0))</f>
        <v/>
      </c>
      <c r="K41" s="48">
        <f>IF(E41+I41&lt;=$K$62,(E41+I41)*J77-J41,IF(E41+I41&lt;=$K$63,(E41+I41)*J78-J41,IF(E41+I41&lt;=$K$64,(E41+I41)*L79-J41,513.0125)))</f>
        <v/>
      </c>
      <c r="L41" s="9" t="n"/>
      <c r="M41" s="62" t="n">
        <v>99.19</v>
      </c>
      <c r="N41" s="62" t="n">
        <v>0</v>
      </c>
      <c r="O41" s="62" t="n">
        <v>99.19</v>
      </c>
      <c r="P41" s="62" t="n">
        <v>99.19</v>
      </c>
      <c r="Q41" s="62" t="n">
        <v>99.19</v>
      </c>
      <c r="R41" s="17" t="n">
        <v>45.09</v>
      </c>
      <c r="S41" s="17" t="n">
        <v>99.19</v>
      </c>
      <c r="T41" s="17" t="n">
        <v>99.19</v>
      </c>
      <c r="U41" s="17" t="n">
        <v>99.19</v>
      </c>
      <c r="V41" s="17" t="n">
        <v>104.87</v>
      </c>
      <c r="W41" s="17" t="n">
        <v>99.19</v>
      </c>
      <c r="X41" s="17" t="n">
        <v>0</v>
      </c>
      <c r="Y41" s="17" t="n">
        <v>0</v>
      </c>
      <c r="Z41" s="17" t="n"/>
      <c r="AA41" s="49">
        <f>SUM(M41:Z41)</f>
        <v/>
      </c>
      <c r="AB41" s="13" t="n"/>
      <c r="AC41" s="13" t="n"/>
    </row>
    <row r="42" ht="21" customHeight="1">
      <c r="A42" s="46" t="inlineStr">
        <is>
          <t>FRANCA</t>
        </is>
      </c>
      <c r="B42" s="22" t="inlineStr">
        <is>
          <t>CHAPA_23</t>
        </is>
      </c>
      <c r="C42" s="10">
        <f>AA42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IF(E42&lt;=$F$69,E42*$G$69,IF(E42&lt;=$F$70,E42*$G$70,IF(E42&lt;=$F$71,E42*$G$71,513.0125)))</f>
        <v/>
      </c>
      <c r="J42" s="47">
        <f>IF(#REF!=0,0,VLOOKUP(B42,$B$6:$I$25,8,0))</f>
        <v/>
      </c>
      <c r="K42" s="48">
        <f>IF(E42+I42&lt;=$K$62,(E42+I42)*J78-J42,IF(E42+I42&lt;=$K$63,(E42+I42)*J79-J42,IF(E42+I42&lt;=$K$64,(E42+I42)*L80-J42,513.0125)))</f>
        <v/>
      </c>
      <c r="L42" s="9" t="n"/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/>
      <c r="AA42" s="49">
        <f>SUM(M42:Z42)</f>
        <v/>
      </c>
      <c r="AB42" s="13" t="n"/>
      <c r="AC42" s="13" t="n"/>
    </row>
    <row r="43" ht="21" customHeight="1">
      <c r="A43" s="46" t="inlineStr">
        <is>
          <t>FRANCA</t>
        </is>
      </c>
      <c r="B43" s="24" t="inlineStr">
        <is>
          <t>CHAPA_32</t>
        </is>
      </c>
      <c r="C43" s="10">
        <f>AA43</f>
        <v/>
      </c>
      <c r="D43" s="10">
        <f>C43*0.1818</f>
        <v/>
      </c>
      <c r="E43" s="10">
        <f>SUM(C43:D43)</f>
        <v/>
      </c>
      <c r="F43" s="10">
        <f>E43*0.1111</f>
        <v/>
      </c>
      <c r="G43" s="10">
        <f>E43*0.083</f>
        <v/>
      </c>
      <c r="H43" s="10">
        <f>SUM(E43:G43)*0.08</f>
        <v/>
      </c>
      <c r="I43" s="10">
        <f>IF(E43&lt;=$F$69,E43*$G$69,IF(E43&lt;=$F$70,E43*$G$70,IF(E43&lt;=$F$71,E43*$G$71,513.0125)))</f>
        <v/>
      </c>
      <c r="J43" s="47">
        <f>IF(I12=0,0,VLOOKUP(B43,$B$6:$I$25,8,0))</f>
        <v/>
      </c>
      <c r="K43" s="48">
        <f>IF(E43+I43&lt;=$K$62,(E43+I43)*J79-J43,IF(E43+I43&lt;=$K$63,(E43+I43)*J80-J43,IF(E43+I43&lt;=$K$64,(E43+I43)*L81-J43,513.0125)))</f>
        <v/>
      </c>
      <c r="L43" s="9" t="n"/>
      <c r="M43" s="17" t="n">
        <v>99.19</v>
      </c>
      <c r="N43" s="17" t="n">
        <v>99.19</v>
      </c>
      <c r="O43" s="17" t="n">
        <v>99.19</v>
      </c>
      <c r="P43" s="17" t="n">
        <v>155.04</v>
      </c>
      <c r="Q43" s="17" t="n">
        <v>99.2</v>
      </c>
      <c r="R43" s="17" t="n">
        <v>0</v>
      </c>
      <c r="S43" s="17" t="n">
        <v>107.63</v>
      </c>
      <c r="T43" s="17" t="n">
        <v>99.19</v>
      </c>
      <c r="U43" s="17" t="n">
        <v>99.19</v>
      </c>
      <c r="V43" s="17" t="n">
        <v>104.87</v>
      </c>
      <c r="W43" s="17" t="n">
        <v>99.19</v>
      </c>
      <c r="X43" s="17" t="n">
        <v>45.09</v>
      </c>
      <c r="Y43" s="17" t="n">
        <v>99.19</v>
      </c>
      <c r="Z43" s="17" t="n"/>
      <c r="AA43" s="49">
        <f>SUM(M43:Z43)</f>
        <v/>
      </c>
      <c r="AB43" s="13" t="n"/>
      <c r="AC43" s="13" t="n"/>
    </row>
    <row r="44" ht="21" customHeight="1">
      <c r="A44" s="46" t="inlineStr">
        <is>
          <t>FRANCA</t>
        </is>
      </c>
      <c r="B44" s="22" t="inlineStr">
        <is>
          <t>CHAPA_36</t>
        </is>
      </c>
      <c r="C44" s="10">
        <f>AA44</f>
        <v/>
      </c>
      <c r="D44" s="10">
        <f>C44*0.1818</f>
        <v/>
      </c>
      <c r="E44" s="10">
        <f>SUM(C44:D44)</f>
        <v/>
      </c>
      <c r="F44" s="10">
        <f>E44*0.1111</f>
        <v/>
      </c>
      <c r="G44" s="10">
        <f>E44*0.083</f>
        <v/>
      </c>
      <c r="H44" s="10">
        <f>SUM(E44:G44)*0.08</f>
        <v/>
      </c>
      <c r="I44" s="10">
        <f>IF(E44&lt;=$F$69,E44*$G$69,IF(E44&lt;=$F$70,E44*$G$70,IF(E44&lt;=$F$71,E44*$G$71,513.0125)))</f>
        <v/>
      </c>
      <c r="J44" s="47">
        <f>IF(I13=0,0,VLOOKUP(B44,$B$6:$I$25,8,0))</f>
        <v/>
      </c>
      <c r="K44" s="48">
        <f>IF(E44+I44&lt;=$K$62,(E44+I44)*J80-J44,IF(E44+I44&lt;=$K$63,(E44+I44)*J81-J44,IF(E44+I44&lt;=$K$64,(E44+I44)*L82-J44,513.0125)))</f>
        <v/>
      </c>
      <c r="L44" s="9" t="n"/>
      <c r="M44" s="17" t="n">
        <v>45.11</v>
      </c>
      <c r="N44" s="17" t="n">
        <v>99.19</v>
      </c>
      <c r="O44" s="17" t="n">
        <v>99.19</v>
      </c>
      <c r="P44" s="17" t="n">
        <v>155.04</v>
      </c>
      <c r="Q44" s="17" t="n">
        <v>99.2</v>
      </c>
      <c r="R44" s="17" t="n">
        <v>0</v>
      </c>
      <c r="S44" s="17" t="n">
        <v>99.19</v>
      </c>
      <c r="T44" s="17" t="n">
        <v>99.19</v>
      </c>
      <c r="U44" s="17" t="n">
        <v>99.19</v>
      </c>
      <c r="V44" s="17" t="n">
        <v>104.87</v>
      </c>
      <c r="W44" s="17" t="n">
        <v>45.11</v>
      </c>
      <c r="X44" s="17" t="n">
        <v>45.09</v>
      </c>
      <c r="Y44" s="17" t="n">
        <v>99.19</v>
      </c>
      <c r="Z44" s="17" t="n"/>
      <c r="AA44" s="49">
        <f>SUM(M44:Z44)</f>
        <v/>
      </c>
      <c r="AB44" s="13" t="n"/>
      <c r="AC44" s="13" t="n"/>
    </row>
    <row r="45" ht="21" customHeight="1">
      <c r="A45" s="46" t="inlineStr">
        <is>
          <t>FRANCA</t>
        </is>
      </c>
      <c r="B45" s="15" t="inlineStr">
        <is>
          <t>CHAPA_38</t>
        </is>
      </c>
      <c r="C45" s="50">
        <f>AA45</f>
        <v/>
      </c>
      <c r="D45" s="50">
        <f>C45*0.1818</f>
        <v/>
      </c>
      <c r="E45" s="50">
        <f>SUM(C45:D45)</f>
        <v/>
      </c>
      <c r="F45" s="50">
        <f>E45*0.1111</f>
        <v/>
      </c>
      <c r="G45" s="50">
        <f>E45*0.083</f>
        <v/>
      </c>
      <c r="H45" s="50">
        <f>SUM(E45:G45)*0.08</f>
        <v/>
      </c>
      <c r="I45" s="47">
        <f>AA14</f>
        <v/>
      </c>
      <c r="J45" s="47">
        <f>IF(I14=0,0,VLOOKUP(B45,$B$6:$I$25,8,0))</f>
        <v/>
      </c>
      <c r="K45" s="48">
        <f>IF(E45+I45&lt;=$K$62,(E45+I45)*J81-J45,IF(E45+I45&lt;=$K$63,(E45+I45)*J82-J45,IF(E45+I45&lt;=$K$64,(E45+I45)*L83-J45,513.0125)))</f>
        <v/>
      </c>
      <c r="L45" s="9" t="n"/>
      <c r="M45" s="17" t="n">
        <v>99.19</v>
      </c>
      <c r="N45" s="17" t="n">
        <v>99.19</v>
      </c>
      <c r="O45" s="17" t="n">
        <v>99.19</v>
      </c>
      <c r="P45" s="17" t="n">
        <v>155.04</v>
      </c>
      <c r="Q45" s="17" t="n">
        <v>99.19</v>
      </c>
      <c r="R45" s="17" t="n">
        <v>45.09</v>
      </c>
      <c r="S45" s="17" t="n">
        <v>99.19</v>
      </c>
      <c r="T45" s="17" t="n">
        <v>99.19</v>
      </c>
      <c r="U45" s="17" t="n">
        <v>99.19</v>
      </c>
      <c r="V45" s="17" t="n">
        <v>104.88</v>
      </c>
      <c r="W45" s="17" t="n">
        <v>99.19</v>
      </c>
      <c r="X45" s="17" t="n">
        <v>0</v>
      </c>
      <c r="Y45" s="17" t="n">
        <v>99.19</v>
      </c>
      <c r="Z45" s="17" t="n"/>
      <c r="AA45" s="49">
        <f>SUM(M45:Z45)</f>
        <v/>
      </c>
      <c r="AB45" s="13" t="n"/>
      <c r="AC45" s="13" t="n"/>
    </row>
    <row r="46" ht="21" customHeight="1">
      <c r="A46" s="46" t="inlineStr">
        <is>
          <t>FRANCA</t>
        </is>
      </c>
      <c r="B46" s="15" t="inlineStr">
        <is>
          <t>CHAPA_40</t>
        </is>
      </c>
      <c r="C46" s="50">
        <f>AA46</f>
        <v/>
      </c>
      <c r="D46" s="50">
        <f>C46*0.1818</f>
        <v/>
      </c>
      <c r="E46" s="50">
        <f>SUM(C46:D46)</f>
        <v/>
      </c>
      <c r="F46" s="50">
        <f>E46*0.1111</f>
        <v/>
      </c>
      <c r="G46" s="50">
        <f>E46*0.083</f>
        <v/>
      </c>
      <c r="H46" s="50">
        <f>SUM(E46:G46)*0.08</f>
        <v/>
      </c>
      <c r="I46" s="47">
        <f>AA15</f>
        <v/>
      </c>
      <c r="J46" s="47">
        <f>IF(I15=0,0,VLOOKUP(#REF!,$B$6:$I$25,8,0))</f>
        <v/>
      </c>
      <c r="K46" s="48">
        <f>IF(E46+I46&lt;=$K$62,(E46+I46)*J82-J46,IF(E46+I46&lt;=$K$63,(E46+I46)*J83-J46,IF(E46+I46&lt;=$K$64,(E46+I46)*L84-J46,513.0125)))</f>
        <v/>
      </c>
      <c r="L46" s="9" t="n"/>
      <c r="M46" s="17" t="n">
        <v>99.19</v>
      </c>
      <c r="N46" s="17" t="n">
        <v>99.19</v>
      </c>
      <c r="O46" s="17" t="n">
        <v>99.19</v>
      </c>
      <c r="P46" s="17" t="n">
        <v>144.89</v>
      </c>
      <c r="Q46" s="17" t="n">
        <v>99.19</v>
      </c>
      <c r="R46" s="17" t="n">
        <v>45.08</v>
      </c>
      <c r="S46" s="17" t="n">
        <v>99.2</v>
      </c>
      <c r="T46" s="17" t="n">
        <v>0</v>
      </c>
      <c r="U46" s="17" t="n">
        <v>99.2</v>
      </c>
      <c r="V46" s="17" t="n">
        <v>104.88</v>
      </c>
      <c r="W46" s="17" t="n">
        <v>99.19</v>
      </c>
      <c r="X46" s="17" t="n">
        <v>0</v>
      </c>
      <c r="Y46" s="17" t="n">
        <v>99.2</v>
      </c>
      <c r="Z46" s="17" t="n"/>
      <c r="AA46" s="49">
        <f>SUM(M46:Z46)</f>
        <v/>
      </c>
      <c r="AB46" s="13" t="n"/>
      <c r="AC46" s="13" t="n"/>
    </row>
    <row r="47" ht="21" customHeight="1">
      <c r="A47" s="46" t="inlineStr">
        <is>
          <t>FRANCA</t>
        </is>
      </c>
      <c r="B47" s="15" t="inlineStr">
        <is>
          <t>CHAPA_41</t>
        </is>
      </c>
      <c r="C47" s="50">
        <f>AA47</f>
        <v/>
      </c>
      <c r="D47" s="50">
        <f>C47*0.1818</f>
        <v/>
      </c>
      <c r="E47" s="50">
        <f>SUM(C47:D47)</f>
        <v/>
      </c>
      <c r="F47" s="50">
        <f>E47*0.1111</f>
        <v/>
      </c>
      <c r="G47" s="50">
        <f>E47*0.083</f>
        <v/>
      </c>
      <c r="H47" s="50">
        <f>SUM(E47:G47)*0.08</f>
        <v/>
      </c>
      <c r="I47" s="47">
        <f>AA16</f>
        <v/>
      </c>
      <c r="J47" s="47">
        <f>IF(I16=0,0,VLOOKUP(B46,$B$6:$I$25,8,0))</f>
        <v/>
      </c>
      <c r="K47" s="48">
        <f>IF(E47+I47&lt;=$K$62,(E47+I47)*J83-J47,IF(E47+I47&lt;=$K$63,(E47+I47)*J84-J47,IF(E47+I47&lt;=$K$64,(E47+I47)*L85-J47,513.0125)))</f>
        <v/>
      </c>
      <c r="L47" s="9" t="n"/>
      <c r="M47" s="17" t="n">
        <v>99.19</v>
      </c>
      <c r="N47" s="17" t="n">
        <v>99.19</v>
      </c>
      <c r="O47" s="17" t="n">
        <v>99.19</v>
      </c>
      <c r="P47" s="17" t="n">
        <v>155.04</v>
      </c>
      <c r="Q47" s="17" t="n">
        <v>99.19</v>
      </c>
      <c r="R47" s="17" t="n">
        <v>45.09</v>
      </c>
      <c r="S47" s="17" t="n">
        <v>99.2</v>
      </c>
      <c r="T47" s="17" t="n">
        <v>99.19</v>
      </c>
      <c r="U47" s="17" t="n">
        <v>99.2</v>
      </c>
      <c r="V47" s="17" t="n">
        <v>104.88</v>
      </c>
      <c r="W47" s="17" t="n">
        <v>99.19</v>
      </c>
      <c r="X47" s="17" t="n">
        <v>45.09</v>
      </c>
      <c r="Y47" s="17" t="n">
        <v>99.2</v>
      </c>
      <c r="Z47" s="17" t="n"/>
      <c r="AA47" s="49">
        <f>SUM(M47:Z47)</f>
        <v/>
      </c>
      <c r="AB47" s="13" t="n"/>
      <c r="AC47" s="13" t="n"/>
    </row>
    <row r="48" ht="21" customHeight="1">
      <c r="A48" s="46" t="inlineStr">
        <is>
          <t>FRANCA</t>
        </is>
      </c>
      <c r="B48" s="15" t="inlineStr">
        <is>
          <t>CHAPA_18</t>
        </is>
      </c>
      <c r="C48" s="50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IF(I17=0,0,VLOOKUP(B47,$B$6:$I$25,8,0))</f>
        <v/>
      </c>
      <c r="K48" s="48">
        <f>IF(E48+I48&lt;=$K$62,(E48+I48)*J84-J48,IF(E48+I48&lt;=$K$63,(E48+I48)*J85-J48,IF(E48+I48&lt;=$K$64,(E48+I48)*L86-J48,513.0125)))</f>
        <v/>
      </c>
      <c r="L48" s="9" t="n"/>
      <c r="M48" s="17" t="n"/>
      <c r="N48" s="17" t="n"/>
      <c r="O48" s="17" t="n"/>
      <c r="P48" s="17" t="n">
        <v>43.75</v>
      </c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49">
        <f>SUM(M48:Z48)</f>
        <v/>
      </c>
      <c r="AB48" s="13" t="n"/>
      <c r="AC48" s="13" t="n"/>
    </row>
    <row r="49" ht="21" customHeight="1">
      <c r="A49" s="46" t="inlineStr">
        <is>
          <t>FRANCA</t>
        </is>
      </c>
      <c r="B49" s="15" t="inlineStr">
        <is>
          <t>CHAPA_10</t>
        </is>
      </c>
      <c r="C49" s="50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IF(I18=0,0,VLOOKUP(B48,$B$6:$I$25,8,0))</f>
        <v/>
      </c>
      <c r="K49" s="48">
        <f>IF(E49+I49&lt;=$K$62,(E49+I49)*J85-J49,IF(E49+I49&lt;=$K$63,(E49+I49)*J86-J49,IF(E49+I49&lt;=$K$64,(E49+I49)*L87-J49,513.0125)))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49">
        <f>SUM(M49:Z49)</f>
        <v/>
      </c>
      <c r="AB49" s="13" t="n"/>
      <c r="AC49" s="13" t="n"/>
    </row>
    <row r="50" ht="21" customHeight="1">
      <c r="A50" s="46" t="inlineStr">
        <is>
          <t>FRANCA</t>
        </is>
      </c>
      <c r="B50" s="15" t="inlineStr">
        <is>
          <t>CHAPA_34</t>
        </is>
      </c>
      <c r="C50" s="50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IF(I19=0,0,VLOOKUP(B50,$B$6:$I$25,8,0))</f>
        <v/>
      </c>
      <c r="K50" s="48">
        <f>IF(E50+I50&lt;=$K$62,(E50+I50)*J86-J50,IF(E50+I50&lt;=$K$63,(E50+I50)*J87-J50,IF(E50+I50&lt;=$K$64,(E50+I50)*L88-J50,513.0125)))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49">
        <f>SUM(M50:Z50)</f>
        <v/>
      </c>
      <c r="AB50" s="13" t="n"/>
      <c r="AC50" s="13" t="n"/>
    </row>
    <row r="51" ht="21" customHeight="1">
      <c r="A51" s="46" t="inlineStr">
        <is>
          <t>FRANCA</t>
        </is>
      </c>
      <c r="B51" s="15" t="inlineStr">
        <is>
          <t>CHAPA_33</t>
        </is>
      </c>
      <c r="C51" s="50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IF(I20=0,0,VLOOKUP(B51,$B$6:$I$25,8,0))</f>
        <v/>
      </c>
      <c r="K51" s="48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49">
        <f>SUM(M51:Z51)</f>
        <v/>
      </c>
      <c r="AB51" s="13" t="n"/>
      <c r="AC51" s="13" t="n"/>
    </row>
    <row r="52" ht="21" customHeight="1">
      <c r="A52" s="46" t="inlineStr">
        <is>
          <t>FRANCA</t>
        </is>
      </c>
      <c r="B52" s="15" t="n"/>
      <c r="C52" s="50">
        <f>AA52</f>
        <v/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IF(I21=0,0,VLOOKUP(B52,$B$6:$I$25,8,0))</f>
        <v/>
      </c>
      <c r="K52" s="48">
        <f>IF(E52+I52&lt;=$K$62,(E52+I52)*J88-J52,IF(E52+I52&lt;=$K$63,(E52+I52)*J89-J52,IF(E52+I52&lt;=$K$64,(E52+I52)*L90-J52,513.0125)))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49">
        <f>SUM(M52:Z52)</f>
        <v/>
      </c>
      <c r="AB52" s="13" t="n"/>
      <c r="AC52" s="13" t="n"/>
    </row>
    <row r="53" ht="21" customHeight="1">
      <c r="A53" s="46" t="inlineStr">
        <is>
          <t>FRANCA</t>
        </is>
      </c>
      <c r="B53" s="15" t="n"/>
      <c r="C53" s="50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IF(E53+I53&lt;=$K$62,(E53+I53)*J89-J53,IF(E53+I53&lt;=$K$63,(E53+I53)*J90-J53,IF(E53+I53&lt;=$K$64,(E53+I53)*L91-J53,513.0125)))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51" t="n"/>
      <c r="AA53" s="49">
        <f>SUM(M53:Z53)</f>
        <v/>
      </c>
      <c r="AB53" s="13" t="n"/>
      <c r="AC53" s="13" t="n"/>
    </row>
    <row r="54" ht="21" customHeight="1">
      <c r="A54" s="46" t="inlineStr">
        <is>
          <t>FRANCA</t>
        </is>
      </c>
      <c r="B54" s="15" t="n"/>
      <c r="C54" s="50">
        <f>AA54</f>
        <v/>
      </c>
      <c r="D54" s="50">
        <f>C54*0.1818</f>
        <v/>
      </c>
      <c r="E54" s="50">
        <f>SUM(C54:D54)</f>
        <v/>
      </c>
      <c r="F54" s="50">
        <f>E54*0.1111</f>
        <v/>
      </c>
      <c r="G54" s="50">
        <f>E54*0.083</f>
        <v/>
      </c>
      <c r="H54" s="50">
        <f>SUM(E54:G54)*0.08</f>
        <v/>
      </c>
      <c r="I54" s="47">
        <f>AA23</f>
        <v/>
      </c>
      <c r="J54" s="47">
        <f>IF(I23=0,0,VLOOKUP(B54,$B$6:$I$25,8,0))</f>
        <v/>
      </c>
      <c r="K54" s="48">
        <f>IF(E54+I54&lt;=$K$62,(E54+I54)*J90-J54,IF(E54+I54&lt;=$K$63,(E54+I54)*J91-J54,IF(E54+I54&lt;=$K$64,(E54+I54)*L92-J54,513.0125)))</f>
        <v/>
      </c>
      <c r="L54" s="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51" t="n"/>
      <c r="AA54" s="49">
        <f>SUM(M54:Z54)</f>
        <v/>
      </c>
      <c r="AB54" s="13" t="n"/>
      <c r="AC54" s="13" t="n"/>
    </row>
    <row r="55" ht="21" customHeight="1">
      <c r="A55" s="46" t="inlineStr">
        <is>
          <t>FRANCA</t>
        </is>
      </c>
      <c r="B55" s="15" t="n"/>
      <c r="C55" s="50">
        <f>AA55</f>
        <v/>
      </c>
      <c r="D55" s="50">
        <f>C55*0.1818</f>
        <v/>
      </c>
      <c r="E55" s="50">
        <f>SUM(C55:D55)</f>
        <v/>
      </c>
      <c r="F55" s="50">
        <f>E55*0.1111</f>
        <v/>
      </c>
      <c r="G55" s="50">
        <f>E55*0.083</f>
        <v/>
      </c>
      <c r="H55" s="50">
        <f>SUM(E55:G55)*0.08</f>
        <v/>
      </c>
      <c r="I55" s="47">
        <f>AA24</f>
        <v/>
      </c>
      <c r="J55" s="47">
        <f>IF(I24=0,0,VLOOKUP(B55,$B$6:$I$25,8,0))</f>
        <v/>
      </c>
      <c r="K55" s="48">
        <f>IF(E55+I55&lt;=$K$62,(E55+I55)*J91-J55,IF(E55+I55&lt;=$K$63,(E55+I55)*J92-J55,IF(E55+I55&lt;=$K$64,(E55+I55)*L93-J55,513.0125)))</f>
        <v/>
      </c>
      <c r="L55" s="9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51" t="n"/>
      <c r="AA55" s="49">
        <f>SUM(M55:Z55)</f>
        <v/>
      </c>
      <c r="AB55" s="13" t="n"/>
      <c r="AC55" s="13" t="n"/>
    </row>
    <row r="56" ht="21" customHeight="1">
      <c r="A56" s="46" t="inlineStr">
        <is>
          <t>FRANCA</t>
        </is>
      </c>
      <c r="B56" s="15" t="n"/>
      <c r="C56" s="50">
        <f>AA56</f>
        <v/>
      </c>
      <c r="D56" s="50">
        <f>C56*0.1818</f>
        <v/>
      </c>
      <c r="E56" s="50">
        <f>SUM(C56:D56)</f>
        <v/>
      </c>
      <c r="F56" s="50">
        <f>E56*0.1111</f>
        <v/>
      </c>
      <c r="G56" s="50">
        <f>E56*0.083</f>
        <v/>
      </c>
      <c r="H56" s="50">
        <f>SUM(E56:G56)*0.08</f>
        <v/>
      </c>
      <c r="I56" s="47">
        <f>AA25</f>
        <v/>
      </c>
      <c r="J56" s="47">
        <f>IF(I25=0,0,VLOOKUP(B56,$B$6:$I$25,8,0))</f>
        <v/>
      </c>
      <c r="K56" s="48">
        <f>IF(E56+I56&lt;=$K$62,(E56+I56)*J92-J56,IF(E56+I56&lt;=$K$63,(E56+I56)*J93-J56,IF(E56+I56&lt;=$K$64,(E56+I56)*L94-J56,513.0125)))</f>
        <v/>
      </c>
      <c r="L56" s="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51" t="n"/>
      <c r="Z56" s="51" t="n"/>
      <c r="AA56" s="49">
        <f>SUM(M56:Z56)</f>
        <v/>
      </c>
      <c r="AB56" s="13" t="n"/>
      <c r="AC56" s="13" t="n"/>
    </row>
    <row r="57" ht="21" customHeight="1">
      <c r="A57" s="46" t="inlineStr">
        <is>
          <t>FRANCA</t>
        </is>
      </c>
      <c r="B57" s="15" t="n"/>
      <c r="C57" s="50">
        <f>AA57</f>
        <v/>
      </c>
      <c r="D57" s="50">
        <f>C57*0.1818</f>
        <v/>
      </c>
      <c r="E57" s="50">
        <f>SUM(C57:D57)</f>
        <v/>
      </c>
      <c r="F57" s="50">
        <f>E57*0.1111</f>
        <v/>
      </c>
      <c r="G57" s="50">
        <f>E57*0.083</f>
        <v/>
      </c>
      <c r="H57" s="50">
        <f>SUM(E57:G57)*0.08</f>
        <v/>
      </c>
      <c r="I57" s="47">
        <f>AA26</f>
        <v/>
      </c>
      <c r="J57" s="47">
        <f>IF(I26=0,0,VLOOKUP(B57,$B$6:$I$25,8,0))</f>
        <v/>
      </c>
      <c r="K57" s="48">
        <f>IF(E57+I57&lt;=$K$62,(E57+I57)*J93-J57,IF(E57+I57&lt;=$K$63,(E57+I57)*J94-J57,IF(E57+I57&lt;=$K$64,(E57+I57)*L95-J57,513.0125)))</f>
        <v/>
      </c>
      <c r="L57" s="9" t="n"/>
      <c r="M57" s="17" t="n"/>
      <c r="N57" s="52" t="n"/>
      <c r="O57" s="52" t="n"/>
      <c r="P57" s="17" t="n"/>
      <c r="Q57" s="52" t="n"/>
      <c r="R57" s="17" t="n"/>
      <c r="S57" s="52" t="n"/>
      <c r="T57" s="17" t="n"/>
      <c r="U57" s="17" t="n"/>
      <c r="V57" s="52" t="n"/>
      <c r="W57" s="51" t="n"/>
      <c r="X57" s="51" t="n"/>
      <c r="Y57" s="51" t="n"/>
      <c r="Z57" s="51" t="n"/>
      <c r="AA57" s="49">
        <f>SUM(M57:Z57)</f>
        <v/>
      </c>
      <c r="AB57" s="13" t="n"/>
      <c r="AC57" s="13" t="n"/>
    </row>
    <row r="58" ht="21" customHeight="1">
      <c r="A58" s="46" t="inlineStr">
        <is>
          <t>FRANCA</t>
        </is>
      </c>
      <c r="B58" s="15" t="n"/>
      <c r="C58" s="50">
        <f>AA58</f>
        <v/>
      </c>
      <c r="D58" s="50">
        <f>C58*0.1818</f>
        <v/>
      </c>
      <c r="E58" s="50">
        <f>SUM(C58:D58)</f>
        <v/>
      </c>
      <c r="F58" s="50">
        <f>E58*0.1111</f>
        <v/>
      </c>
      <c r="G58" s="50">
        <f>E58*0.083</f>
        <v/>
      </c>
      <c r="H58" s="50">
        <f>SUM(E58:G58)*0.08</f>
        <v/>
      </c>
      <c r="I58" s="47">
        <f>AA27</f>
        <v/>
      </c>
      <c r="J58" s="47">
        <f>IF(I27=0,0,VLOOKUP(B58,$B$6:$I$25,8,0))</f>
        <v/>
      </c>
      <c r="K58" s="48">
        <f>IF(E58+I58&lt;=$K$62,(E58+I58)*J94-J58,IF(E58+I58&lt;=$K$63,(E58+I58)*J95-J58,IF(E58+I58&lt;=$K$64,(E58+I58)*L96-J58,513.0125)))</f>
        <v/>
      </c>
      <c r="L58" s="9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1" t="n"/>
      <c r="X58" s="51" t="n"/>
      <c r="Y58" s="51" t="n"/>
      <c r="Z58" s="51" t="n"/>
      <c r="AA58" s="49">
        <f>SUM(M58:Z58)</f>
        <v/>
      </c>
      <c r="AB58" s="13" t="n"/>
      <c r="AC58" s="13" t="n"/>
    </row>
    <row r="59" ht="21.6" customHeight="1" thickBot="1">
      <c r="A59" s="46" t="inlineStr">
        <is>
          <t>FRANCA</t>
        </is>
      </c>
      <c r="B59" s="53" t="n"/>
      <c r="C59" s="54">
        <f>AA59</f>
        <v/>
      </c>
      <c r="D59" s="54">
        <f>C59*0.1818</f>
        <v/>
      </c>
      <c r="E59" s="54">
        <f>SUM(C59:D59)</f>
        <v/>
      </c>
      <c r="F59" s="54">
        <f>E59*0.1111</f>
        <v/>
      </c>
      <c r="G59" s="54">
        <f>E59*0.083</f>
        <v/>
      </c>
      <c r="H59" s="54">
        <f>SUM(E59:G59)*0.08</f>
        <v/>
      </c>
      <c r="I59" s="55">
        <f>AA28</f>
        <v/>
      </c>
      <c r="J59" s="55">
        <f>IF(I28=0,0,VLOOKUP(B59,$B$6:$I$25,8,0))</f>
        <v/>
      </c>
      <c r="K59" s="56">
        <f>IF(E59+I59&lt;=$K$62,(E59+I59)*J95-J59,IF(E59+I59&lt;=$K$63,(E59+I59)*J96-J59,IF(E59+I59&lt;=$K$64,(E59+I59)*L97-J59,513.0125)))</f>
        <v/>
      </c>
      <c r="L59" s="9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49">
        <f>SUM(M59:Z59)</f>
        <v/>
      </c>
      <c r="AB59" s="13" t="n"/>
      <c r="AC59" s="13" t="n"/>
    </row>
    <row r="60" ht="21" customHeight="1" thickBo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28" t="n"/>
      <c r="N60" s="28">
        <f>COUNT(#REF!)</f>
        <v/>
      </c>
      <c r="O60" s="28">
        <f>COUNT(#REF!)</f>
        <v/>
      </c>
      <c r="P60" s="28" t="n">
        <v>29</v>
      </c>
      <c r="Q60" s="28">
        <f>COUNT(#REF!)</f>
        <v/>
      </c>
      <c r="R60" s="28">
        <f>COUNT(#REF!)</f>
        <v/>
      </c>
      <c r="S60" s="28">
        <f>COUNT(#REF!)</f>
        <v/>
      </c>
      <c r="T60" s="28" t="n"/>
      <c r="U60" s="28">
        <f>COUNT(#REF!)</f>
        <v/>
      </c>
      <c r="V60" s="28">
        <f>COUNT(#REF!)</f>
        <v/>
      </c>
      <c r="W60" s="28" t="n"/>
      <c r="X60" s="28" t="n"/>
      <c r="Y60" s="28" t="n"/>
      <c r="Z60" s="28" t="n"/>
      <c r="AA60" s="28" t="n"/>
      <c r="AB60" s="10" t="n"/>
      <c r="AC60" s="13" t="n"/>
    </row>
    <row r="61" ht="21.6" customHeight="1" thickBot="1">
      <c r="L61" s="10" t="n"/>
      <c r="M61" s="29" t="inlineStr">
        <is>
          <t>TOTAL GERAL / BOLETIM ENSACADORES:</t>
        </is>
      </c>
      <c r="N61" s="30" t="n"/>
      <c r="O61" s="30" t="n"/>
      <c r="P61" s="30" t="n"/>
      <c r="Q61" s="30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2" t="inlineStr">
        <is>
          <t>TOTAL:</t>
        </is>
      </c>
      <c r="AC61" s="13" t="n"/>
    </row>
    <row r="62" ht="21.6" customHeight="1" thickBot="1">
      <c r="A62" s="64" t="inlineStr">
        <is>
          <t>MÉDIA DIARIA CHAPAS</t>
        </is>
      </c>
      <c r="B62" s="108" t="n"/>
      <c r="C62" s="37" t="n">
        <v>9</v>
      </c>
      <c r="L62" s="10" t="n"/>
      <c r="M62" s="33">
        <f>SUM(M38:M59)</f>
        <v/>
      </c>
      <c r="N62" s="33">
        <f>SUM(N38:N59)</f>
        <v/>
      </c>
      <c r="O62" s="33">
        <f>SUM(O38:O50)</f>
        <v/>
      </c>
      <c r="P62" s="33">
        <f>SUM(P38:P59)</f>
        <v/>
      </c>
      <c r="Q62" s="33">
        <f>SUM(Q38:Q58)</f>
        <v/>
      </c>
      <c r="R62" s="33">
        <f>SUM(R38:R59)</f>
        <v/>
      </c>
      <c r="S62" s="33">
        <f>SUM(S38:S59)</f>
        <v/>
      </c>
      <c r="T62" s="33">
        <f>SUM(T38:T59)</f>
        <v/>
      </c>
      <c r="U62" s="33">
        <f>SUM(U38:U59)</f>
        <v/>
      </c>
      <c r="V62" s="33">
        <f>SUM(V38:V59)</f>
        <v/>
      </c>
      <c r="W62" s="33">
        <f>SUM(W38:W59)</f>
        <v/>
      </c>
      <c r="X62" s="33">
        <f>SUM(X38:X59)</f>
        <v/>
      </c>
      <c r="Y62" s="33">
        <f>SUM(Y38:Y59)</f>
        <v/>
      </c>
      <c r="Z62" s="33" t="n">
        <v>0</v>
      </c>
      <c r="AA62" s="34" t="n"/>
      <c r="AB62" s="35">
        <f>SUM(M62:Z62)</f>
        <v/>
      </c>
      <c r="AC62" s="13" t="n"/>
    </row>
    <row r="63" ht="20.4" customHeight="1">
      <c r="L63" s="10" t="n"/>
      <c r="AC63" s="13" t="n"/>
    </row>
    <row r="64" ht="20.4" customHeight="1">
      <c r="L64" s="10" t="n"/>
      <c r="AC64" s="13" t="n"/>
    </row>
    <row r="65" ht="20.4" customHeight="1"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13" t="n"/>
    </row>
    <row r="66" ht="20.4" customHeight="1"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3" t="n"/>
    </row>
  </sheetData>
  <mergeCells count="8">
    <mergeCell ref="A62:B62"/>
    <mergeCell ref="A2:H2"/>
    <mergeCell ref="M36:AB36"/>
    <mergeCell ref="A3:I3"/>
    <mergeCell ref="M4:AA4"/>
    <mergeCell ref="A1:H1"/>
    <mergeCell ref="A4:I4"/>
    <mergeCell ref="A36:K36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3"/>
  <sheetViews>
    <sheetView topLeftCell="K34" zoomScale="55" zoomScaleNormal="55" workbookViewId="0">
      <selection activeCell="M62" sqref="M62:AB63"/>
    </sheetView>
  </sheetViews>
  <sheetFormatPr baseColWidth="8" defaultColWidth="30.77734375" defaultRowHeight="14.4"/>
  <cols>
    <col width="21.44140625" customWidth="1" min="4" max="4"/>
    <col width="21.109375" customWidth="1" min="5" max="5"/>
    <col width="23.88671875" customWidth="1" min="6" max="6"/>
    <col width="18" customWidth="1" min="7" max="7"/>
    <col width="19.21875" customWidth="1" min="8" max="8"/>
    <col width="14.77734375" customWidth="1" min="9" max="9"/>
    <col width="17.6640625" customWidth="1" min="13" max="13"/>
    <col width="17.88671875" customWidth="1" min="14" max="14"/>
    <col width="13.33203125" customWidth="1" min="15" max="15"/>
    <col width="15.44140625" customWidth="1" min="16" max="16"/>
    <col width="16.88671875" customWidth="1" min="17" max="17"/>
    <col width="15.21875" customWidth="1" min="18" max="18"/>
    <col width="15.77734375" customWidth="1" min="19" max="19"/>
    <col width="13.21875" customWidth="1" min="20" max="20"/>
    <col width="13" customWidth="1" min="21" max="21"/>
    <col width="15.44140625" customWidth="1" min="22" max="22"/>
    <col width="14.6640625" customWidth="1" min="23" max="23"/>
    <col width="11.33203125" bestFit="1" customWidth="1" min="24" max="24"/>
    <col width="13.21875" customWidth="1" min="25" max="25"/>
    <col width="20.109375" customWidth="1" min="26" max="26"/>
    <col width="15.77734375" customWidth="1" min="27" max="27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45748</v>
      </c>
      <c r="N5" s="11" t="n">
        <v>45749</v>
      </c>
      <c r="O5" s="11" t="n">
        <v>45750</v>
      </c>
      <c r="P5" s="11" t="n">
        <v>45751</v>
      </c>
      <c r="Q5" s="11" t="n">
        <v>45752</v>
      </c>
      <c r="R5" s="11" t="n">
        <v>45753</v>
      </c>
      <c r="S5" s="11" t="n">
        <v>45754</v>
      </c>
      <c r="T5" s="11" t="n">
        <v>45755</v>
      </c>
      <c r="U5" s="11" t="n">
        <v>45756</v>
      </c>
      <c r="V5" s="11" t="n">
        <v>45757</v>
      </c>
      <c r="W5" s="11" t="n">
        <v>45758</v>
      </c>
      <c r="X5" s="11" t="n">
        <v>45759</v>
      </c>
      <c r="Y5" s="11" t="n">
        <v>45760</v>
      </c>
      <c r="Z5" s="11" t="n">
        <v>45761</v>
      </c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15" t="inlineStr">
        <is>
          <t>CHAPA_04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22" t="inlineStr">
        <is>
          <t>CHAPA_06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99.19</v>
      </c>
      <c r="N7" s="17" t="n">
        <v>0</v>
      </c>
      <c r="O7" s="17" t="n">
        <v>99.19</v>
      </c>
      <c r="P7" s="17" t="n">
        <v>99.19</v>
      </c>
      <c r="Q7" s="17" t="n">
        <v>0</v>
      </c>
      <c r="R7" s="17" t="n">
        <v>0</v>
      </c>
      <c r="S7" s="17" t="n">
        <v>99.19</v>
      </c>
      <c r="T7" s="17" t="n">
        <v>99.2</v>
      </c>
      <c r="U7" s="17" t="n">
        <v>99.19</v>
      </c>
      <c r="V7" s="17" t="n">
        <v>99.19</v>
      </c>
      <c r="W7" s="17" t="n">
        <v>99.19</v>
      </c>
      <c r="X7" s="17" t="n">
        <v>45.07</v>
      </c>
      <c r="Y7" s="17" t="n">
        <v>0</v>
      </c>
      <c r="Z7" s="17" t="n">
        <v>0</v>
      </c>
      <c r="AA7" s="18">
        <f>SUM(M7:Z7)</f>
        <v/>
      </c>
      <c r="AB7" s="13" t="n"/>
    </row>
    <row r="8" ht="21" customHeight="1">
      <c r="A8" s="14" t="inlineStr">
        <is>
          <t>FRANCA</t>
        </is>
      </c>
      <c r="B8" s="15" t="inlineStr">
        <is>
          <t>CHAPA_10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8">
        <f>SUM(M8:Z8)</f>
        <v/>
      </c>
      <c r="AB8" s="13" t="n"/>
    </row>
    <row r="9" ht="21" customHeight="1">
      <c r="A9" s="14" t="inlineStr">
        <is>
          <t>FRANCA</t>
        </is>
      </c>
      <c r="B9" s="4" t="inlineStr">
        <is>
          <t>CHAPA_11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8">
        <f>SUM(M9:Z9)</f>
        <v/>
      </c>
      <c r="AB9" s="13" t="n"/>
    </row>
    <row r="10" ht="21" customHeight="1">
      <c r="A10" s="14" t="inlineStr">
        <is>
          <t>FRANCA</t>
        </is>
      </c>
      <c r="B10" s="24" t="inlineStr">
        <is>
          <t>CHAPA_15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99.19</v>
      </c>
      <c r="N10" s="17" t="n">
        <v>99.19</v>
      </c>
      <c r="O10" s="17" t="n">
        <v>99.2</v>
      </c>
      <c r="P10" s="17" t="n">
        <v>99.2</v>
      </c>
      <c r="Q10" s="17" t="n">
        <v>45.07</v>
      </c>
      <c r="R10" s="17" t="n">
        <v>0</v>
      </c>
      <c r="S10" s="17" t="n">
        <v>99.19</v>
      </c>
      <c r="T10" s="17" t="n">
        <v>99.19</v>
      </c>
      <c r="U10" s="17" t="n">
        <v>99.19</v>
      </c>
      <c r="V10" s="17" t="n">
        <v>99.19</v>
      </c>
      <c r="W10" s="17" t="n">
        <v>99.19</v>
      </c>
      <c r="X10" s="17" t="n">
        <v>45.07</v>
      </c>
      <c r="Y10" s="17" t="n">
        <v>0</v>
      </c>
      <c r="Z10" s="17" t="n">
        <v>99.19</v>
      </c>
      <c r="AA10" s="18">
        <f>SUM(M10:Z10)</f>
        <v/>
      </c>
      <c r="AB10" s="13" t="n"/>
    </row>
    <row r="11" ht="21" customHeight="1">
      <c r="A11" s="14" t="inlineStr">
        <is>
          <t>FRANCA</t>
        </is>
      </c>
      <c r="B11" s="22" t="inlineStr">
        <is>
          <t>CHAPA_16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8">
        <f>SUM(M11:Z11)</f>
        <v/>
      </c>
      <c r="AB11" s="13" t="n"/>
    </row>
    <row r="12" ht="21" customHeight="1">
      <c r="A12" s="14" t="inlineStr">
        <is>
          <t>FRANCA</t>
        </is>
      </c>
      <c r="B12" s="15" t="inlineStr">
        <is>
          <t>CHAPA_20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>
        <v>99.19</v>
      </c>
      <c r="N12" s="17" t="n">
        <v>99.19</v>
      </c>
      <c r="O12" s="17" t="n">
        <v>99.2</v>
      </c>
      <c r="P12" s="17" t="n">
        <v>0</v>
      </c>
      <c r="Q12" s="17" t="n">
        <v>0</v>
      </c>
      <c r="R12" s="17" t="n">
        <v>0</v>
      </c>
      <c r="S12" s="17" t="n">
        <v>99.19</v>
      </c>
      <c r="T12" s="17" t="n">
        <v>99.19</v>
      </c>
      <c r="U12" s="17" t="n">
        <v>99.19</v>
      </c>
      <c r="V12" s="17" t="n">
        <v>99.19</v>
      </c>
      <c r="W12" s="17" t="n">
        <v>99.19</v>
      </c>
      <c r="X12" s="17" t="n">
        <v>0</v>
      </c>
      <c r="Y12" s="17" t="n">
        <v>0</v>
      </c>
      <c r="Z12" s="17" t="n">
        <v>0</v>
      </c>
      <c r="AA12" s="18">
        <f>SUM(M12:Z12)</f>
        <v/>
      </c>
      <c r="AB12" s="13" t="n"/>
    </row>
    <row r="13" ht="21" customHeight="1">
      <c r="A13" s="14" t="inlineStr">
        <is>
          <t>FRANCA</t>
        </is>
      </c>
      <c r="B13" s="15" t="inlineStr">
        <is>
          <t>CHAPA_26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8">
        <f>SUM(M13:Z13)</f>
        <v/>
      </c>
      <c r="AB13" s="13" t="n"/>
    </row>
    <row r="14" ht="21" customHeight="1">
      <c r="A14" s="14" t="inlineStr">
        <is>
          <t>FRANCA</t>
        </is>
      </c>
      <c r="B14" s="24" t="inlineStr">
        <is>
          <t>CHAPA_32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99.19</v>
      </c>
      <c r="N14" s="17" t="n">
        <v>99.19</v>
      </c>
      <c r="O14" s="17" t="n">
        <v>99.2</v>
      </c>
      <c r="P14" s="17" t="n">
        <v>99.2</v>
      </c>
      <c r="Q14" s="17" t="n">
        <v>45.09</v>
      </c>
      <c r="R14" s="17" t="n">
        <v>0</v>
      </c>
      <c r="S14" s="17" t="n">
        <v>99.19</v>
      </c>
      <c r="T14" s="17" t="n">
        <v>99.19</v>
      </c>
      <c r="U14" s="17" t="n">
        <v>45.07</v>
      </c>
      <c r="V14" s="17" t="n">
        <v>116.09</v>
      </c>
      <c r="W14" s="17" t="n">
        <v>99.19</v>
      </c>
      <c r="X14" s="17" t="n">
        <v>45.09</v>
      </c>
      <c r="Y14" s="17" t="n">
        <v>0</v>
      </c>
      <c r="Z14" s="17" t="n">
        <v>99.19</v>
      </c>
      <c r="AA14" s="18">
        <f>SUM(M14:Z14)</f>
        <v/>
      </c>
      <c r="AB14" s="13" t="n"/>
    </row>
    <row r="15" ht="21" customHeight="1">
      <c r="A15" s="14" t="inlineStr">
        <is>
          <t>FRANCA</t>
        </is>
      </c>
      <c r="B15" s="22" t="inlineStr">
        <is>
          <t>CHAPA_36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>
        <v>99.19</v>
      </c>
      <c r="N15" s="17" t="n">
        <v>99.19</v>
      </c>
      <c r="O15" s="17" t="n">
        <v>99.2</v>
      </c>
      <c r="P15" s="17" t="n">
        <v>99.2</v>
      </c>
      <c r="Q15" s="17" t="n">
        <v>0</v>
      </c>
      <c r="R15" s="17" t="n">
        <v>0</v>
      </c>
      <c r="S15" s="17" t="n">
        <v>99.19</v>
      </c>
      <c r="T15" s="17" t="n">
        <v>99.19</v>
      </c>
      <c r="U15" s="17" t="n">
        <v>99.2</v>
      </c>
      <c r="V15" s="17" t="n">
        <v>99.19</v>
      </c>
      <c r="W15" s="17" t="n">
        <v>99.19</v>
      </c>
      <c r="X15" s="17" t="n">
        <v>45.1</v>
      </c>
      <c r="Y15" s="17" t="n">
        <v>0</v>
      </c>
      <c r="Z15" s="17" t="n">
        <v>99.19</v>
      </c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15" t="inlineStr">
        <is>
          <t>CHAPA_38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>
        <v>99.19</v>
      </c>
      <c r="N16" s="17" t="n">
        <v>99.19</v>
      </c>
      <c r="O16" s="17" t="n">
        <v>99.2</v>
      </c>
      <c r="P16" s="17" t="n">
        <v>99.19</v>
      </c>
      <c r="Q16" s="17" t="n">
        <v>45.07</v>
      </c>
      <c r="R16" s="17" t="n">
        <v>0</v>
      </c>
      <c r="S16" s="17" t="n">
        <v>45.09</v>
      </c>
      <c r="T16" s="17" t="n">
        <v>99.19</v>
      </c>
      <c r="U16" s="17" t="n">
        <v>99.2</v>
      </c>
      <c r="V16" s="17" t="n">
        <v>0</v>
      </c>
      <c r="W16" s="17" t="n">
        <v>99.19</v>
      </c>
      <c r="X16" s="17" t="n">
        <v>0</v>
      </c>
      <c r="Y16" s="17" t="n">
        <v>0</v>
      </c>
      <c r="Z16" s="17" t="n">
        <v>99.19</v>
      </c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15" t="inlineStr">
        <is>
          <t>CHAPA_40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>
        <v>99.2</v>
      </c>
      <c r="N17" s="17" t="n">
        <v>99.2</v>
      </c>
      <c r="O17" s="17" t="n">
        <v>87.84999999999999</v>
      </c>
      <c r="P17" s="17" t="n">
        <v>99.19</v>
      </c>
      <c r="Q17" s="17" t="n">
        <v>45.07</v>
      </c>
      <c r="R17" s="17" t="n">
        <v>0</v>
      </c>
      <c r="S17" s="17" t="n">
        <v>99.19</v>
      </c>
      <c r="T17" s="17" t="n">
        <v>99.19</v>
      </c>
      <c r="U17" s="17" t="n">
        <v>99.2</v>
      </c>
      <c r="V17" s="17" t="n">
        <v>99.2</v>
      </c>
      <c r="W17" s="17" t="n">
        <v>99.2</v>
      </c>
      <c r="X17" s="17" t="n">
        <v>0</v>
      </c>
      <c r="Y17" s="17" t="n">
        <v>0</v>
      </c>
      <c r="Z17" s="17" t="n">
        <v>99.2</v>
      </c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inlineStr">
        <is>
          <t>CHAPA_41</t>
        </is>
      </c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>
        <v>99.2</v>
      </c>
      <c r="N18" s="17" t="n">
        <v>99.2</v>
      </c>
      <c r="O18" s="17" t="n">
        <v>99.20999999999999</v>
      </c>
      <c r="P18" s="17" t="n">
        <v>99.19</v>
      </c>
      <c r="Q18" s="17" t="n">
        <v>45.07</v>
      </c>
      <c r="R18" s="17" t="n">
        <v>0</v>
      </c>
      <c r="S18" s="17" t="n">
        <v>99.19</v>
      </c>
      <c r="T18" s="17" t="n">
        <v>99.19</v>
      </c>
      <c r="U18" s="17" t="n">
        <v>99.2</v>
      </c>
      <c r="V18" s="17" t="n">
        <v>99.2</v>
      </c>
      <c r="W18" s="17" t="n">
        <v>99.2</v>
      </c>
      <c r="X18" s="17" t="n">
        <v>45.1</v>
      </c>
      <c r="Y18" s="17" t="n">
        <v>0</v>
      </c>
      <c r="Z18" s="17" t="n">
        <v>99.2</v>
      </c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n"/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.6" customHeight="1" thickBot="1">
      <c r="A27" s="36" t="inlineStr">
        <is>
          <t>MÉDIA DIÁRIA CHAPAS</t>
        </is>
      </c>
      <c r="B27" s="36" t="n"/>
      <c r="C27" s="37" t="n">
        <v>9</v>
      </c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" customHeight="1"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>
        <f>SUM(Z6:Z25)</f>
        <v/>
      </c>
      <c r="AA28" s="34" t="n"/>
      <c r="AB28" s="35">
        <f>SUM(M28:Z28)</f>
        <v/>
      </c>
    </row>
    <row r="29" ht="20.4" customHeight="1">
      <c r="J29" s="10" t="n"/>
      <c r="K29" s="10" t="n"/>
      <c r="L29" s="10" t="n"/>
    </row>
    <row r="30" ht="20.4" customHeight="1"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.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 ht="21" customFormat="1" customHeight="1" s="83">
      <c r="A32" s="81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</row>
    <row r="33"/>
    <row r="34" ht="15" customHeight="1" thickBot="1"/>
    <row r="35" ht="21" customHeight="1" thickBot="1">
      <c r="A35" s="111" t="inlineStr">
        <is>
          <t>2ª QUINZENA</t>
        </is>
      </c>
      <c r="B35" s="107" t="n"/>
      <c r="C35" s="107" t="n"/>
      <c r="D35" s="107" t="n"/>
      <c r="E35" s="107" t="n"/>
      <c r="F35" s="107" t="n"/>
      <c r="G35" s="107" t="n"/>
      <c r="H35" s="107" t="n"/>
      <c r="I35" s="107" t="n"/>
      <c r="J35" s="107" t="n"/>
      <c r="K35" s="108" t="n"/>
      <c r="L35" s="4" t="n"/>
      <c r="M35" s="112" t="inlineStr">
        <is>
          <t xml:space="preserve">TOTAL </t>
        </is>
      </c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10" t="n"/>
    </row>
    <row r="36" ht="21.6" customHeight="1" thickBot="1">
      <c r="A36" s="40" t="inlineStr">
        <is>
          <t>LOCAL</t>
        </is>
      </c>
      <c r="B36" s="40" t="inlineStr">
        <is>
          <t>NOME</t>
        </is>
      </c>
      <c r="C36" s="41" t="inlineStr">
        <is>
          <t>DIÁRIA</t>
        </is>
      </c>
      <c r="D36" s="41" t="inlineStr">
        <is>
          <t>DSR</t>
        </is>
      </c>
      <c r="E36" s="41" t="inlineStr">
        <is>
          <t>TOTAL</t>
        </is>
      </c>
      <c r="F36" s="41" t="inlineStr">
        <is>
          <t>FÉRIAS</t>
        </is>
      </c>
      <c r="G36" s="41" t="inlineStr">
        <is>
          <t>13º SALÁRIO</t>
        </is>
      </c>
      <c r="H36" s="41" t="inlineStr">
        <is>
          <t>FGTS</t>
        </is>
      </c>
      <c r="I36" s="42" t="inlineStr">
        <is>
          <t>T. 1º Q.</t>
        </is>
      </c>
      <c r="J36" s="42" t="inlineStr">
        <is>
          <t>INSS 1º</t>
        </is>
      </c>
      <c r="K36" s="43" t="inlineStr">
        <is>
          <t>INSS</t>
        </is>
      </c>
      <c r="L36" s="9" t="n"/>
      <c r="M36" s="44" t="n">
        <v>45762</v>
      </c>
      <c r="N36" s="44" t="n">
        <v>45763</v>
      </c>
      <c r="O36" s="44" t="n">
        <v>45764</v>
      </c>
      <c r="P36" s="44" t="n">
        <v>45765</v>
      </c>
      <c r="Q36" s="44" t="n">
        <v>45766</v>
      </c>
      <c r="R36" s="44" t="n">
        <v>45767</v>
      </c>
      <c r="S36" s="44" t="n">
        <v>121</v>
      </c>
      <c r="T36" s="44" t="n">
        <v>45769</v>
      </c>
      <c r="U36" s="44" t="n">
        <v>45770</v>
      </c>
      <c r="V36" s="44" t="n">
        <v>45771</v>
      </c>
      <c r="W36" s="44" t="n">
        <v>45772</v>
      </c>
      <c r="X36" s="44" t="n">
        <v>45773</v>
      </c>
      <c r="Y36" s="44" t="n">
        <v>45775</v>
      </c>
      <c r="Z36" s="45" t="n">
        <v>45776</v>
      </c>
      <c r="AA36" s="8" t="inlineStr">
        <is>
          <t>TOTAL</t>
        </is>
      </c>
      <c r="AB36" s="13" t="n"/>
    </row>
    <row r="37" ht="21" customHeight="1">
      <c r="A37" s="46" t="inlineStr">
        <is>
          <t>FRANCA</t>
        </is>
      </c>
      <c r="B37" s="22" t="inlineStr">
        <is>
          <t>CHAPA_06</t>
        </is>
      </c>
      <c r="C37" s="10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IF(E37&lt;=$F$69,E37*$G$69,IF(E37&lt;=$F$70,E37*$G$70,IF(E37&lt;=$F$71,E37*$G$71,513.0125)))</f>
        <v/>
      </c>
      <c r="J37" s="47">
        <f>IF(I8=0,0,VLOOKUP(B37,$B$6:$I$25,8,0))</f>
        <v/>
      </c>
      <c r="K37" s="48">
        <f>IF(E37+I37&lt;=$K$62,(E37+I37)*J73-J37,IF(E37+I37&lt;=$K$63,(E37+I37)*J74-J37,IF(E37+I37&lt;=$K$64,(E37+I37)*L75-J37,513.0125)))</f>
        <v/>
      </c>
      <c r="L37" s="9" t="n"/>
      <c r="M37" s="17" t="n">
        <v>99.19</v>
      </c>
      <c r="N37" s="17" t="n">
        <v>99.19</v>
      </c>
      <c r="O37" s="17" t="n">
        <v>99.19</v>
      </c>
      <c r="P37" s="17" t="n">
        <v>0</v>
      </c>
      <c r="Q37" s="17" t="n">
        <v>45.07</v>
      </c>
      <c r="R37" s="17" t="n">
        <v>0</v>
      </c>
      <c r="S37" s="17" t="n">
        <v>99.19</v>
      </c>
      <c r="T37" s="17" t="n">
        <v>0</v>
      </c>
      <c r="U37" s="17" t="n">
        <v>99.19</v>
      </c>
      <c r="V37" s="17" t="n">
        <v>99.22</v>
      </c>
      <c r="W37" s="17" t="n">
        <v>99.19</v>
      </c>
      <c r="X37" s="17" t="n">
        <v>0</v>
      </c>
      <c r="Y37" s="17" t="n">
        <v>99.19</v>
      </c>
      <c r="Z37" s="17" t="n">
        <v>99.19</v>
      </c>
      <c r="AA37" s="49">
        <f>SUM(M37:Z37)</f>
        <v/>
      </c>
      <c r="AB37" s="13" t="n"/>
    </row>
    <row r="38" ht="21" customHeight="1">
      <c r="A38" s="46" t="inlineStr">
        <is>
          <t>FRANCA</t>
        </is>
      </c>
      <c r="B38" s="24" t="inlineStr">
        <is>
          <t>CHAPA_15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47">
        <f>IF(#REF!=0,0,VLOOKUP(B38,$B$6:$I$25,8,0))</f>
        <v/>
      </c>
      <c r="K38" s="48">
        <f>IF(E38+I38&lt;=$K$62,(E38+I38)*J74-J38,IF(E38+I38&lt;=$K$63,(E38+I38)*J75-J38,IF(E38+I38&lt;=$K$64,(E38+I38)*L76-J38,513.0125)))</f>
        <v/>
      </c>
      <c r="L38" s="9" t="n"/>
      <c r="M38" s="17" t="n">
        <v>99.19</v>
      </c>
      <c r="N38" s="17" t="n">
        <v>99.19</v>
      </c>
      <c r="O38" s="17" t="n">
        <v>99.19</v>
      </c>
      <c r="P38" s="17" t="n">
        <v>0</v>
      </c>
      <c r="Q38" s="17" t="n">
        <v>0</v>
      </c>
      <c r="R38" s="17" t="n">
        <v>0</v>
      </c>
      <c r="S38" s="17" t="n">
        <v>99.19</v>
      </c>
      <c r="T38" s="17" t="n">
        <v>99.19</v>
      </c>
      <c r="U38" s="17" t="n">
        <v>99.19</v>
      </c>
      <c r="V38" s="17" t="n">
        <v>45.1</v>
      </c>
      <c r="W38" s="17" t="n">
        <v>99.19</v>
      </c>
      <c r="X38" s="17" t="n">
        <v>45.08</v>
      </c>
      <c r="Y38" s="17" t="n">
        <v>99.19</v>
      </c>
      <c r="Z38" s="17" t="n">
        <v>0</v>
      </c>
      <c r="AA38" s="49">
        <f>SUM(M38:Z38)</f>
        <v/>
      </c>
      <c r="AB38" s="13" t="n"/>
    </row>
    <row r="39" ht="21" customHeight="1">
      <c r="A39" s="46" t="inlineStr">
        <is>
          <t>FRANCA</t>
        </is>
      </c>
      <c r="B39" s="22" t="inlineStr">
        <is>
          <t>CHAPA_16</t>
        </is>
      </c>
      <c r="C39" s="10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47">
        <f>IF(I9=0,0,VLOOKUP(B39,$B$6:$I$25,8,0))</f>
        <v/>
      </c>
      <c r="K39" s="48">
        <f>IF(E39+I39&lt;=$K$62,(E39+I39)*J75-J39,IF(E39+I39&lt;=$K$63,(E39+I39)*J76-J39,IF(E39+I39&lt;=$K$64,(E39+I39)*L77-J39,513.0125)))</f>
        <v/>
      </c>
      <c r="L39" s="9" t="n"/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49">
        <f>SUM(M39:Z39)</f>
        <v/>
      </c>
      <c r="AB39" s="13" t="n"/>
    </row>
    <row r="40" ht="21" customHeight="1">
      <c r="A40" s="46" t="inlineStr">
        <is>
          <t>FRANCA</t>
        </is>
      </c>
      <c r="B40" s="15" t="inlineStr">
        <is>
          <t>CHAPA_20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IF(E40&lt;=$F$69,E40*$G$69,IF(E40&lt;=$F$70,E40*$G$70,IF(E40&lt;=$F$71,E40*$G$71,513.0125)))</f>
        <v/>
      </c>
      <c r="J40" s="47">
        <f>IF(I10=0,0,VLOOKUP(B40,$B$6:$I$25,8,0))</f>
        <v/>
      </c>
      <c r="K40" s="48">
        <f>IF(E40+I40&lt;=$K$62,(E40+I40)*J76-J40,IF(E40+I40&lt;=$K$63,(E40+I40)*J77-J40,IF(E40+I40&lt;=$K$64,(E40+I40)*L78-J40,513.0125)))</f>
        <v/>
      </c>
      <c r="L40" s="9" t="n"/>
      <c r="M40" s="84" t="n">
        <v>0</v>
      </c>
      <c r="N40" s="84" t="n">
        <v>0</v>
      </c>
      <c r="O40" s="84" t="n">
        <v>0</v>
      </c>
      <c r="P40" s="84" t="n">
        <v>0</v>
      </c>
      <c r="Q40" s="84" t="n">
        <v>0</v>
      </c>
      <c r="R40" s="17" t="n">
        <v>0</v>
      </c>
      <c r="S40" s="17" t="n">
        <v>99.19</v>
      </c>
      <c r="T40" s="17" t="n">
        <v>99.19</v>
      </c>
      <c r="U40" s="17" t="n">
        <v>99.19</v>
      </c>
      <c r="V40" s="17" t="n">
        <v>0</v>
      </c>
      <c r="W40" s="17" t="n">
        <v>99.19</v>
      </c>
      <c r="X40" s="17" t="n">
        <v>0</v>
      </c>
      <c r="Y40" s="17" t="n">
        <v>99.19</v>
      </c>
      <c r="Z40" s="17" t="n">
        <v>99.19</v>
      </c>
      <c r="AA40" s="49">
        <f>SUM(M40:Z40)</f>
        <v/>
      </c>
      <c r="AB40" s="13" t="n"/>
    </row>
    <row r="41" ht="21" customHeight="1">
      <c r="A41" s="46" t="inlineStr">
        <is>
          <t>FRANCA</t>
        </is>
      </c>
      <c r="B41" s="22" t="inlineStr">
        <is>
          <t>CHAPA_23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47">
        <f>IF(#REF!=0,0,VLOOKUP(B41,$B$6:$I$25,8,0))</f>
        <v/>
      </c>
      <c r="K41" s="48">
        <f>IF(E41+I41&lt;=$K$62,(E41+I41)*J77-J41,IF(E41+I41&lt;=$K$63,(E41+I41)*J78-J41,IF(E41+I41&lt;=$K$64,(E41+I41)*L79-J41,513.0125)))</f>
        <v/>
      </c>
      <c r="L41" s="9" t="n"/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49">
        <f>SUM(M41:Z41)</f>
        <v/>
      </c>
      <c r="AB41" s="13" t="n"/>
    </row>
    <row r="42" ht="21" customHeight="1">
      <c r="A42" s="46" t="inlineStr">
        <is>
          <t>FRANCA</t>
        </is>
      </c>
      <c r="B42" s="24" t="inlineStr">
        <is>
          <t>CHAPA_32</t>
        </is>
      </c>
      <c r="C42" s="10">
        <f>AA42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IF(E42&lt;=$F$69,E42*$G$69,IF(E42&lt;=$F$70,E42*$G$70,IF(E42&lt;=$F$71,E42*$G$71,513.0125)))</f>
        <v/>
      </c>
      <c r="J42" s="47">
        <f>IF(I11=0,0,VLOOKUP(B42,$B$6:$I$25,8,0))</f>
        <v/>
      </c>
      <c r="K42" s="48">
        <f>IF(E42+I42&lt;=$K$62,(E42+I42)*J78-J42,IF(E42+I42&lt;=$K$63,(E42+I42)*J79-J42,IF(E42+I42&lt;=$K$64,(E42+I42)*L80-J42,513.0125)))</f>
        <v/>
      </c>
      <c r="L42" s="9" t="n"/>
      <c r="M42" s="17" t="n">
        <v>99.19</v>
      </c>
      <c r="N42" s="17" t="n">
        <v>99.19</v>
      </c>
      <c r="O42" s="17" t="n">
        <v>0</v>
      </c>
      <c r="P42" s="17" t="n">
        <v>0</v>
      </c>
      <c r="Q42" s="17" t="n">
        <v>45.1</v>
      </c>
      <c r="R42" s="17" t="n">
        <v>0</v>
      </c>
      <c r="S42" s="17" t="n">
        <v>99.19</v>
      </c>
      <c r="T42" s="17" t="n">
        <v>0</v>
      </c>
      <c r="U42" s="17" t="n">
        <v>45.07</v>
      </c>
      <c r="V42" s="17" t="n">
        <v>99.22</v>
      </c>
      <c r="W42" s="17" t="n">
        <v>99.19</v>
      </c>
      <c r="X42" s="17" t="n">
        <v>45.09</v>
      </c>
      <c r="Y42" s="17" t="n">
        <v>99.19</v>
      </c>
      <c r="Z42" s="17" t="n">
        <v>0</v>
      </c>
      <c r="AA42" s="49">
        <f>SUM(M42:Z42)</f>
        <v/>
      </c>
      <c r="AB42" s="13" t="n"/>
    </row>
    <row r="43" ht="21" customHeight="1">
      <c r="A43" s="46" t="inlineStr">
        <is>
          <t>FRANCA</t>
        </is>
      </c>
      <c r="B43" s="22" t="inlineStr">
        <is>
          <t>CHAPA_36</t>
        </is>
      </c>
      <c r="C43" s="10">
        <f>AA43</f>
        <v/>
      </c>
      <c r="D43" s="10">
        <f>C43*0.1818</f>
        <v/>
      </c>
      <c r="E43" s="10">
        <f>SUM(C43:D43)</f>
        <v/>
      </c>
      <c r="F43" s="10">
        <f>E43*0.1111</f>
        <v/>
      </c>
      <c r="G43" s="10">
        <f>E43*0.083</f>
        <v/>
      </c>
      <c r="H43" s="10">
        <f>SUM(E43:G43)*0.08</f>
        <v/>
      </c>
      <c r="I43" s="10">
        <f>IF(E43&lt;=$F$69,E43*$G$69,IF(E43&lt;=$F$70,E43*$G$70,IF(E43&lt;=$F$71,E43*$G$71,513.0125)))</f>
        <v/>
      </c>
      <c r="J43" s="47">
        <f>IF(I12=0,0,VLOOKUP(B43,$B$6:$I$25,8,0))</f>
        <v/>
      </c>
      <c r="K43" s="48">
        <f>IF(E43+I43&lt;=$K$62,(E43+I43)*J79-J43,IF(E43+I43&lt;=$K$63,(E43+I43)*J80-J43,IF(E43+I43&lt;=$K$64,(E43+I43)*L81-J43,513.0125)))</f>
        <v/>
      </c>
      <c r="L43" s="9" t="n"/>
      <c r="M43" s="17" t="n">
        <v>99.19</v>
      </c>
      <c r="N43" s="17" t="n">
        <v>99.19</v>
      </c>
      <c r="O43" s="17" t="n">
        <v>99.19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99.2</v>
      </c>
      <c r="U43" s="17" t="n">
        <v>99.19</v>
      </c>
      <c r="V43" s="17" t="n">
        <v>99.22</v>
      </c>
      <c r="W43" s="17" t="n">
        <v>99.19</v>
      </c>
      <c r="X43" s="17" t="n">
        <v>0</v>
      </c>
      <c r="Y43" s="17" t="n">
        <v>45.08</v>
      </c>
      <c r="Z43" s="17" t="n">
        <v>99.19</v>
      </c>
      <c r="AA43" s="49">
        <f>SUM(M43:Z43)</f>
        <v/>
      </c>
      <c r="AB43" s="13" t="n"/>
    </row>
    <row r="44" ht="21" customHeight="1">
      <c r="A44" s="46" t="inlineStr">
        <is>
          <t>FRANCA</t>
        </is>
      </c>
      <c r="B44" s="15" t="inlineStr">
        <is>
          <t>CHAPA_38</t>
        </is>
      </c>
      <c r="C44" s="50">
        <f>AA44</f>
        <v/>
      </c>
      <c r="D44" s="50">
        <f>C44*0.1818</f>
        <v/>
      </c>
      <c r="E44" s="50">
        <f>SUM(C44:D44)</f>
        <v/>
      </c>
      <c r="F44" s="50">
        <f>E44*0.1111</f>
        <v/>
      </c>
      <c r="G44" s="50">
        <f>E44*0.083</f>
        <v/>
      </c>
      <c r="H44" s="50">
        <f>SUM(E44:G44)*0.08</f>
        <v/>
      </c>
      <c r="I44" s="47">
        <f>AA13</f>
        <v/>
      </c>
      <c r="J44" s="47">
        <f>IF(I13=0,0,VLOOKUP(B44,$B$6:$I$25,8,0))</f>
        <v/>
      </c>
      <c r="K44" s="48">
        <f>IF(E44+I44&lt;=$K$62,(E44+I44)*J80-J44,IF(E44+I44&lt;=$K$63,(E44+I44)*J81-J44,IF(E44+I44&lt;=$K$64,(E44+I44)*L82-J44,513.0125)))</f>
        <v/>
      </c>
      <c r="L44" s="9" t="n"/>
      <c r="M44" s="17" t="n">
        <v>99.19</v>
      </c>
      <c r="N44" s="17" t="n">
        <v>99.2</v>
      </c>
      <c r="O44" s="17" t="n">
        <v>99.2</v>
      </c>
      <c r="P44" s="17" t="n">
        <v>0</v>
      </c>
      <c r="Q44" s="17" t="n">
        <v>45.1</v>
      </c>
      <c r="R44" s="17" t="n">
        <v>0</v>
      </c>
      <c r="S44" s="17" t="n">
        <v>99.19</v>
      </c>
      <c r="T44" s="17" t="n">
        <v>107.64</v>
      </c>
      <c r="U44" s="17" t="n">
        <v>99.19</v>
      </c>
      <c r="V44" s="17" t="n">
        <v>99.22</v>
      </c>
      <c r="W44" s="17" t="n">
        <v>99.19</v>
      </c>
      <c r="X44" s="17" t="n">
        <v>45.09</v>
      </c>
      <c r="Y44" s="17" t="n">
        <v>99.2</v>
      </c>
      <c r="Z44" s="17" t="n">
        <v>99.19</v>
      </c>
      <c r="AA44" s="49">
        <f>SUM(M44:Z44)</f>
        <v/>
      </c>
      <c r="AB44" s="13" t="n"/>
    </row>
    <row r="45" ht="21" customHeight="1">
      <c r="A45" s="46" t="inlineStr">
        <is>
          <t>FRANCA</t>
        </is>
      </c>
      <c r="B45" s="15" t="inlineStr">
        <is>
          <t>CHAPA_40</t>
        </is>
      </c>
      <c r="C45" s="50">
        <f>AA45</f>
        <v/>
      </c>
      <c r="D45" s="50">
        <f>C45*0.1818</f>
        <v/>
      </c>
      <c r="E45" s="50">
        <f>SUM(C45:D45)</f>
        <v/>
      </c>
      <c r="F45" s="50">
        <f>E45*0.1111</f>
        <v/>
      </c>
      <c r="G45" s="50">
        <f>E45*0.083</f>
        <v/>
      </c>
      <c r="H45" s="50">
        <f>SUM(E45:G45)*0.08</f>
        <v/>
      </c>
      <c r="I45" s="47">
        <f>AA14</f>
        <v/>
      </c>
      <c r="J45" s="47">
        <f>IF(I14=0,0,VLOOKUP(#REF!,$B$6:$I$25,8,0))</f>
        <v/>
      </c>
      <c r="K45" s="48">
        <f>IF(E45+I45&lt;=$K$62,(E45+I45)*J81-J45,IF(E45+I45&lt;=$K$63,(E45+I45)*J82-J45,IF(E45+I45&lt;=$K$64,(E45+I45)*L83-J45,513.0125)))</f>
        <v/>
      </c>
      <c r="L45" s="9" t="n"/>
      <c r="M45" s="17" t="n">
        <v>99.2</v>
      </c>
      <c r="N45" s="17" t="n">
        <v>54.11</v>
      </c>
      <c r="O45" s="17" t="n">
        <v>99.19</v>
      </c>
      <c r="P45" s="17" t="n">
        <v>0</v>
      </c>
      <c r="Q45" s="17" t="n">
        <v>0</v>
      </c>
      <c r="R45" s="17" t="n">
        <v>0</v>
      </c>
      <c r="S45" s="17" t="n">
        <v>99.2</v>
      </c>
      <c r="T45" s="17" t="n">
        <v>0</v>
      </c>
      <c r="U45" s="17" t="n">
        <v>99.19</v>
      </c>
      <c r="V45" s="17" t="n">
        <v>99.22</v>
      </c>
      <c r="W45" s="17" t="n">
        <v>99.2</v>
      </c>
      <c r="X45" s="17" t="n">
        <v>0</v>
      </c>
      <c r="Y45" s="17" t="n">
        <v>99.2</v>
      </c>
      <c r="Z45" s="17" t="n">
        <v>0</v>
      </c>
      <c r="AA45" s="49">
        <f>SUM(M45:Z45)</f>
        <v/>
      </c>
      <c r="AB45" s="13" t="n"/>
    </row>
    <row r="46" ht="21" customHeight="1">
      <c r="A46" s="46" t="inlineStr">
        <is>
          <t>FRANCA</t>
        </is>
      </c>
      <c r="B46" s="15" t="inlineStr">
        <is>
          <t>CHAPA_41</t>
        </is>
      </c>
      <c r="C46" s="50">
        <f>AA46</f>
        <v/>
      </c>
      <c r="D46" s="50">
        <f>C46*0.1818</f>
        <v/>
      </c>
      <c r="E46" s="50">
        <f>SUM(C46:D46)</f>
        <v/>
      </c>
      <c r="F46" s="50">
        <f>E46*0.1111</f>
        <v/>
      </c>
      <c r="G46" s="50">
        <f>E46*0.083</f>
        <v/>
      </c>
      <c r="H46" s="50">
        <f>SUM(E46:G46)*0.08</f>
        <v/>
      </c>
      <c r="I46" s="47">
        <f>AA15</f>
        <v/>
      </c>
      <c r="J46" s="47">
        <f>IF(I15=0,0,VLOOKUP(B45,$B$6:$I$25,8,0))</f>
        <v/>
      </c>
      <c r="K46" s="48">
        <f>IF(E46+I46&lt;=$K$62,(E46+I46)*J82-J46,IF(E46+I46&lt;=$K$63,(E46+I46)*J83-J46,IF(E46+I46&lt;=$K$64,(E46+I46)*L84-J46,513.0125)))</f>
        <v/>
      </c>
      <c r="L46" s="9" t="n"/>
      <c r="M46" s="17" t="n">
        <v>99.2</v>
      </c>
      <c r="N46" s="17" t="n">
        <v>99.2</v>
      </c>
      <c r="O46" s="17" t="n">
        <v>99.2</v>
      </c>
      <c r="P46" s="17" t="n">
        <v>0</v>
      </c>
      <c r="Q46" s="17" t="n">
        <v>45.08</v>
      </c>
      <c r="R46" s="17" t="n">
        <v>0</v>
      </c>
      <c r="S46" s="17" t="n">
        <v>99.2</v>
      </c>
      <c r="T46" s="17" t="n">
        <v>99.2</v>
      </c>
      <c r="U46" s="17" t="n">
        <v>99.19</v>
      </c>
      <c r="V46" s="17" t="n">
        <v>99.22</v>
      </c>
      <c r="W46" s="17" t="n">
        <v>99.2</v>
      </c>
      <c r="X46" s="17" t="n">
        <v>0</v>
      </c>
      <c r="Y46" s="17" t="n">
        <v>99.2</v>
      </c>
      <c r="Z46" s="17" t="n">
        <v>99.19</v>
      </c>
      <c r="AA46" s="49">
        <f>SUM(M46:Z46)</f>
        <v/>
      </c>
      <c r="AB46" s="13" t="n"/>
    </row>
    <row r="47" ht="21" customHeight="1">
      <c r="A47" s="46" t="inlineStr">
        <is>
          <t>FRANCA</t>
        </is>
      </c>
      <c r="B47" s="15" t="inlineStr">
        <is>
          <t>CHAPA_18</t>
        </is>
      </c>
      <c r="C47" s="50">
        <f>AA47</f>
        <v/>
      </c>
      <c r="D47" s="50">
        <f>C47*0.1818</f>
        <v/>
      </c>
      <c r="E47" s="50">
        <f>SUM(C47:D47)</f>
        <v/>
      </c>
      <c r="F47" s="50">
        <f>E47*0.1111</f>
        <v/>
      </c>
      <c r="G47" s="50">
        <f>E47*0.083</f>
        <v/>
      </c>
      <c r="H47" s="50">
        <f>SUM(E47:G47)*0.08</f>
        <v/>
      </c>
      <c r="I47" s="47">
        <f>AA16</f>
        <v/>
      </c>
      <c r="J47" s="47">
        <f>IF(I16=0,0,VLOOKUP(B46,$B$6:$I$25,8,0))</f>
        <v/>
      </c>
      <c r="K47" s="48">
        <f>IF(E47+I47&lt;=$K$62,(E47+I47)*J83-J47,IF(E47+I47&lt;=$K$63,(E47+I47)*J84-J47,IF(E47+I47&lt;=$K$64,(E47+I47)*L85-J47,513.0125)))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49">
        <f>SUM(M47:Z47)</f>
        <v/>
      </c>
      <c r="AB47" s="13" t="n"/>
    </row>
    <row r="48" ht="21" customHeight="1">
      <c r="A48" s="46" t="inlineStr">
        <is>
          <t>FRANCA</t>
        </is>
      </c>
      <c r="B48" s="15" t="inlineStr">
        <is>
          <t>CHAPA_10</t>
        </is>
      </c>
      <c r="C48" s="50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IF(I17=0,0,VLOOKUP(B47,$B$6:$I$25,8,0))</f>
        <v/>
      </c>
      <c r="K48" s="48">
        <f>IF(E48+I48&lt;=$K$62,(E48+I48)*J84-J48,IF(E48+I48&lt;=$K$63,(E48+I48)*J85-J48,IF(E48+I48&lt;=$K$64,(E48+I48)*L86-J48,513.0125)))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49">
        <f>SUM(M48:Z48)</f>
        <v/>
      </c>
      <c r="AB48" s="13" t="n"/>
    </row>
    <row r="49" ht="21" customHeight="1">
      <c r="A49" s="46" t="inlineStr">
        <is>
          <t>FRANCA</t>
        </is>
      </c>
      <c r="B49" s="15" t="inlineStr">
        <is>
          <t>CHAPA_34</t>
        </is>
      </c>
      <c r="C49" s="50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IF(I18=0,0,VLOOKUP(B49,$B$6:$I$25,8,0))</f>
        <v/>
      </c>
      <c r="K49" s="48">
        <f>IF(E49+I49&lt;=$K$62,(E49+I49)*J85-J49,IF(E49+I49&lt;=$K$63,(E49+I49)*J86-J49,IF(E49+I49&lt;=$K$64,(E49+I49)*L87-J49,513.0125)))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49">
        <f>SUM(M49:Z49)</f>
        <v/>
      </c>
      <c r="AB49" s="13" t="n"/>
    </row>
    <row r="50" ht="21" customHeight="1">
      <c r="A50" s="46" t="inlineStr">
        <is>
          <t>FRANCA</t>
        </is>
      </c>
      <c r="B50" s="15" t="inlineStr">
        <is>
          <t>CHAPA_33</t>
        </is>
      </c>
      <c r="C50" s="50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IF(I19=0,0,VLOOKUP(B50,$B$6:$I$25,8,0))</f>
        <v/>
      </c>
      <c r="K50" s="48">
        <f>IF(E50+I50&lt;=$K$62,(E50+I50)*J86-J50,IF(E50+I50&lt;=$K$63,(E50+I50)*J87-J50,IF(E50+I50&lt;=$K$64,(E50+I50)*L88-J50,513.0125)))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49">
        <f>SUM(M50:Z50)</f>
        <v/>
      </c>
      <c r="AB50" s="13" t="n"/>
    </row>
    <row r="51" ht="21" customHeight="1">
      <c r="A51" s="46" t="inlineStr">
        <is>
          <t>FRANCA</t>
        </is>
      </c>
      <c r="B51" s="15" t="n"/>
      <c r="C51" s="50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IF(I20=0,0,VLOOKUP(B51,$B$6:$I$25,8,0))</f>
        <v/>
      </c>
      <c r="K51" s="48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49">
        <f>SUM(M51:Z51)</f>
        <v/>
      </c>
      <c r="AB51" s="13" t="n"/>
    </row>
    <row r="52" ht="21" customHeight="1">
      <c r="A52" s="46" t="inlineStr">
        <is>
          <t>FRANCA</t>
        </is>
      </c>
      <c r="B52" s="15" t="n"/>
      <c r="C52" s="50">
        <f>AA52</f>
        <v/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IF(I21=0,0,VLOOKUP(B52,$B$6:$I$25,8,0))</f>
        <v/>
      </c>
      <c r="K52" s="48">
        <f>IF(E52+I52&lt;=$K$62,(E52+I52)*J88-J52,IF(E52+I52&lt;=$K$63,(E52+I52)*J89-J52,IF(E52+I52&lt;=$K$64,(E52+I52)*L90-J52,513.0125)))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51" t="n"/>
      <c r="AA52" s="49">
        <f>SUM(M52:Z52)</f>
        <v/>
      </c>
      <c r="AB52" s="13" t="n"/>
    </row>
    <row r="53" ht="21" customHeight="1">
      <c r="A53" s="46" t="inlineStr">
        <is>
          <t>FRANCA</t>
        </is>
      </c>
      <c r="B53" s="15" t="n"/>
      <c r="C53" s="50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IF(E53+I53&lt;=$K$62,(E53+I53)*J89-J53,IF(E53+I53&lt;=$K$63,(E53+I53)*J90-J53,IF(E53+I53&lt;=$K$64,(E53+I53)*L91-J53,513.0125)))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51" t="n"/>
      <c r="AA53" s="49">
        <f>SUM(M53:Z53)</f>
        <v/>
      </c>
      <c r="AB53" s="13" t="n"/>
    </row>
    <row r="54" ht="21" customHeight="1">
      <c r="A54" s="46" t="inlineStr">
        <is>
          <t>FRANCA</t>
        </is>
      </c>
      <c r="B54" s="15" t="n"/>
      <c r="C54" s="50">
        <f>AA54</f>
        <v/>
      </c>
      <c r="D54" s="50">
        <f>C54*0.1818</f>
        <v/>
      </c>
      <c r="E54" s="50">
        <f>SUM(C54:D54)</f>
        <v/>
      </c>
      <c r="F54" s="50">
        <f>E54*0.1111</f>
        <v/>
      </c>
      <c r="G54" s="50">
        <f>E54*0.083</f>
        <v/>
      </c>
      <c r="H54" s="50">
        <f>SUM(E54:G54)*0.08</f>
        <v/>
      </c>
      <c r="I54" s="47">
        <f>AA23</f>
        <v/>
      </c>
      <c r="J54" s="47">
        <f>IF(I23=0,0,VLOOKUP(B54,$B$6:$I$25,8,0))</f>
        <v/>
      </c>
      <c r="K54" s="48">
        <f>IF(E54+I54&lt;=$K$62,(E54+I54)*J90-J54,IF(E54+I54&lt;=$K$63,(E54+I54)*J91-J54,IF(E54+I54&lt;=$K$64,(E54+I54)*L92-J54,513.0125)))</f>
        <v/>
      </c>
      <c r="L54" s="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51" t="n"/>
      <c r="AA54" s="49">
        <f>SUM(M54:Z54)</f>
        <v/>
      </c>
      <c r="AB54" s="13" t="n"/>
    </row>
    <row r="55" ht="21" customHeight="1">
      <c r="A55" s="46" t="inlineStr">
        <is>
          <t>FRANCA</t>
        </is>
      </c>
      <c r="B55" s="15" t="n"/>
      <c r="C55" s="50">
        <f>AA55</f>
        <v/>
      </c>
      <c r="D55" s="50">
        <f>C55*0.1818</f>
        <v/>
      </c>
      <c r="E55" s="50">
        <f>SUM(C55:D55)</f>
        <v/>
      </c>
      <c r="F55" s="50">
        <f>E55*0.1111</f>
        <v/>
      </c>
      <c r="G55" s="50">
        <f>E55*0.083</f>
        <v/>
      </c>
      <c r="H55" s="50">
        <f>SUM(E55:G55)*0.08</f>
        <v/>
      </c>
      <c r="I55" s="47">
        <f>AA24</f>
        <v/>
      </c>
      <c r="J55" s="47">
        <f>IF(I24=0,0,VLOOKUP(B55,$B$6:$I$25,8,0))</f>
        <v/>
      </c>
      <c r="K55" s="48">
        <f>IF(E55+I55&lt;=$K$62,(E55+I55)*J91-J55,IF(E55+I55&lt;=$K$63,(E55+I55)*J92-J55,IF(E55+I55&lt;=$K$64,(E55+I55)*L93-J55,513.0125)))</f>
        <v/>
      </c>
      <c r="L55" s="9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51" t="n"/>
      <c r="Z55" s="51" t="n"/>
      <c r="AA55" s="49">
        <f>SUM(M55:Z55)</f>
        <v/>
      </c>
      <c r="AB55" s="13" t="n"/>
    </row>
    <row r="56" ht="21" customHeight="1">
      <c r="A56" s="46" t="inlineStr">
        <is>
          <t>FRANCA</t>
        </is>
      </c>
      <c r="B56" s="15" t="n"/>
      <c r="C56" s="50">
        <f>AA56</f>
        <v/>
      </c>
      <c r="D56" s="50">
        <f>C56*0.1818</f>
        <v/>
      </c>
      <c r="E56" s="50">
        <f>SUM(C56:D56)</f>
        <v/>
      </c>
      <c r="F56" s="50">
        <f>E56*0.1111</f>
        <v/>
      </c>
      <c r="G56" s="50">
        <f>E56*0.083</f>
        <v/>
      </c>
      <c r="H56" s="50">
        <f>SUM(E56:G56)*0.08</f>
        <v/>
      </c>
      <c r="I56" s="47">
        <f>AA25</f>
        <v/>
      </c>
      <c r="J56" s="47">
        <f>IF(I25=0,0,VLOOKUP(B56,$B$6:$I$25,8,0))</f>
        <v/>
      </c>
      <c r="K56" s="48">
        <f>IF(E56+I56&lt;=$K$62,(E56+I56)*J92-J56,IF(E56+I56&lt;=$K$63,(E56+I56)*J93-J56,IF(E56+I56&lt;=$K$64,(E56+I56)*L94-J56,513.0125)))</f>
        <v/>
      </c>
      <c r="L56" s="9" t="n"/>
      <c r="M56" s="17" t="n"/>
      <c r="N56" s="52" t="n"/>
      <c r="O56" s="52" t="n"/>
      <c r="P56" s="17" t="n"/>
      <c r="Q56" s="52" t="n"/>
      <c r="R56" s="17" t="n"/>
      <c r="S56" s="52" t="n"/>
      <c r="T56" s="17" t="n"/>
      <c r="U56" s="17" t="n"/>
      <c r="V56" s="52" t="n"/>
      <c r="W56" s="51" t="n"/>
      <c r="X56" s="51" t="n"/>
      <c r="Y56" s="51" t="n"/>
      <c r="Z56" s="51" t="n"/>
      <c r="AA56" s="49">
        <f>SUM(M56:Z56)</f>
        <v/>
      </c>
      <c r="AB56" s="13" t="n"/>
    </row>
    <row r="57" ht="21" customHeight="1">
      <c r="A57" s="46" t="inlineStr">
        <is>
          <t>FRANCA</t>
        </is>
      </c>
      <c r="B57" s="15" t="n"/>
      <c r="C57" s="50">
        <f>AA57</f>
        <v/>
      </c>
      <c r="D57" s="50">
        <f>C57*0.1818</f>
        <v/>
      </c>
      <c r="E57" s="50">
        <f>SUM(C57:D57)</f>
        <v/>
      </c>
      <c r="F57" s="50">
        <f>E57*0.1111</f>
        <v/>
      </c>
      <c r="G57" s="50">
        <f>E57*0.083</f>
        <v/>
      </c>
      <c r="H57" s="50">
        <f>SUM(E57:G57)*0.08</f>
        <v/>
      </c>
      <c r="I57" s="47">
        <f>AA26</f>
        <v/>
      </c>
      <c r="J57" s="47">
        <f>IF(I26=0,0,VLOOKUP(B57,$B$6:$I$25,8,0))</f>
        <v/>
      </c>
      <c r="K57" s="48">
        <f>IF(E57+I57&lt;=$K$62,(E57+I57)*J93-J57,IF(E57+I57&lt;=$K$63,(E57+I57)*J94-J57,IF(E57+I57&lt;=$K$64,(E57+I57)*L95-J57,513.0125)))</f>
        <v/>
      </c>
      <c r="L57" s="9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1" t="n"/>
      <c r="X57" s="51" t="n"/>
      <c r="Y57" s="51" t="n"/>
      <c r="Z57" s="51" t="n"/>
      <c r="AA57" s="49">
        <f>SUM(M57:Z57)</f>
        <v/>
      </c>
      <c r="AB57" s="13" t="n"/>
    </row>
    <row r="58" ht="21.6" customHeight="1" thickBot="1">
      <c r="A58" s="46" t="inlineStr">
        <is>
          <t>FRANCA</t>
        </is>
      </c>
      <c r="B58" s="53" t="n"/>
      <c r="C58" s="54">
        <f>AA58</f>
        <v/>
      </c>
      <c r="D58" s="54">
        <f>C58*0.1818</f>
        <v/>
      </c>
      <c r="E58" s="54">
        <f>SUM(C58:D58)</f>
        <v/>
      </c>
      <c r="F58" s="54">
        <f>E58*0.1111</f>
        <v/>
      </c>
      <c r="G58" s="54">
        <f>E58*0.083</f>
        <v/>
      </c>
      <c r="H58" s="54">
        <f>SUM(E58:G58)*0.08</f>
        <v/>
      </c>
      <c r="I58" s="55">
        <f>AA27</f>
        <v/>
      </c>
      <c r="J58" s="55">
        <f>IF(I27=0,0,VLOOKUP(B58,$B$6:$I$25,8,0))</f>
        <v/>
      </c>
      <c r="K58" s="56">
        <f>IF(E58+I58&lt;=$K$62,(E58+I58)*J94-J58,IF(E58+I58&lt;=$K$63,(E58+I58)*J95-J58,IF(E58+I58&lt;=$K$64,(E58+I58)*L96-J58,513.0125)))</f>
        <v/>
      </c>
      <c r="L58" s="9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49">
        <f>SUM(M58:Z58)</f>
        <v/>
      </c>
      <c r="AB58" s="13" t="n"/>
    </row>
    <row r="59" ht="21" customHeight="1" thickBo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28" t="n"/>
      <c r="N59" s="28">
        <f>COUNT(#REF!)</f>
        <v/>
      </c>
      <c r="O59" s="28">
        <f>COUNT(#REF!)</f>
        <v/>
      </c>
      <c r="P59" s="28" t="n">
        <v>29</v>
      </c>
      <c r="Q59" s="28">
        <f>COUNT(#REF!)</f>
        <v/>
      </c>
      <c r="R59" s="28">
        <f>COUNT(#REF!)</f>
        <v/>
      </c>
      <c r="S59" s="28">
        <f>COUNT(#REF!)</f>
        <v/>
      </c>
      <c r="T59" s="28" t="n"/>
      <c r="U59" s="28">
        <f>COUNT(#REF!)</f>
        <v/>
      </c>
      <c r="V59" s="28">
        <f>COUNT(#REF!)</f>
        <v/>
      </c>
      <c r="W59" s="28" t="n"/>
      <c r="X59" s="28" t="n"/>
      <c r="Y59" s="28" t="n"/>
      <c r="Z59" s="28" t="n"/>
      <c r="AA59" s="28" t="n"/>
      <c r="AB59" s="10" t="n"/>
    </row>
    <row r="60" ht="21" customHeight="1">
      <c r="L60" s="10" t="n"/>
      <c r="M60" s="29" t="inlineStr">
        <is>
          <t>TOTAL GERAL / BOLETIM ENSACADORES:</t>
        </is>
      </c>
      <c r="N60" s="30" t="n"/>
      <c r="O60" s="30" t="n"/>
      <c r="P60" s="30" t="n"/>
      <c r="Q60" s="30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2" t="inlineStr">
        <is>
          <t>TOTAL:</t>
        </is>
      </c>
    </row>
    <row r="61" ht="21" customHeight="1">
      <c r="L61" s="10" t="n"/>
      <c r="M61" s="33">
        <f>SUM(M37:M58)</f>
        <v/>
      </c>
      <c r="N61" s="33">
        <f>SUM(N37:N58)</f>
        <v/>
      </c>
      <c r="O61" s="33">
        <f>SUM(O37:O49)</f>
        <v/>
      </c>
      <c r="P61" s="33">
        <f>SUM(P37:P58)</f>
        <v/>
      </c>
      <c r="Q61" s="33">
        <f>SUM(Q37:Q57)</f>
        <v/>
      </c>
      <c r="R61" s="33">
        <f>SUM(R37:R58)</f>
        <v/>
      </c>
      <c r="S61" s="33">
        <f>SUM(S37:S58)</f>
        <v/>
      </c>
      <c r="T61" s="33">
        <f>SUM(T37:T58)</f>
        <v/>
      </c>
      <c r="U61" s="33">
        <f>SUM(U37:U58)</f>
        <v/>
      </c>
      <c r="V61" s="33">
        <f>SUM(V37:V58)</f>
        <v/>
      </c>
      <c r="W61" s="33">
        <f>SUM(W37:W58)</f>
        <v/>
      </c>
      <c r="X61" s="33">
        <f>SUM(X37:X58)</f>
        <v/>
      </c>
      <c r="Y61" s="33">
        <f>SUM(Y37:Y58)</f>
        <v/>
      </c>
      <c r="Z61" s="33">
        <f>SUM(Z37:Z58)</f>
        <v/>
      </c>
      <c r="AA61" s="34" t="n"/>
      <c r="AB61" s="35">
        <f>SUM(M61:Z61)</f>
        <v/>
      </c>
    </row>
    <row r="62" ht="20.4" customHeight="1">
      <c r="L62" s="10" t="n"/>
    </row>
    <row r="63" ht="20.4" customHeight="1">
      <c r="L63" s="10" t="n"/>
    </row>
  </sheetData>
  <mergeCells count="7">
    <mergeCell ref="A35:K35"/>
    <mergeCell ref="A2:H2"/>
    <mergeCell ref="A3:I3"/>
    <mergeCell ref="M4:AA4"/>
    <mergeCell ref="A1:H1"/>
    <mergeCell ref="M35:AB35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9"/>
  <sheetViews>
    <sheetView topLeftCell="A46" zoomScale="55" zoomScaleNormal="55" workbookViewId="0">
      <selection activeCell="K29" sqref="K29"/>
    </sheetView>
  </sheetViews>
  <sheetFormatPr baseColWidth="8" defaultColWidth="20.21875" defaultRowHeight="14.4"/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45779</v>
      </c>
      <c r="N5" s="11" t="n">
        <v>45780</v>
      </c>
      <c r="O5" s="11" t="n">
        <v>45781</v>
      </c>
      <c r="P5" s="11" t="n">
        <v>45782</v>
      </c>
      <c r="Q5" s="11" t="n">
        <v>45783</v>
      </c>
      <c r="R5" s="11" t="n">
        <v>45784</v>
      </c>
      <c r="S5" s="11" t="n">
        <v>45785</v>
      </c>
      <c r="T5" s="11" t="n">
        <v>45786</v>
      </c>
      <c r="U5" s="11" t="n">
        <v>45787</v>
      </c>
      <c r="V5" s="11" t="n">
        <v>45788</v>
      </c>
      <c r="W5" s="11" t="n">
        <v>45789</v>
      </c>
      <c r="X5" s="11" t="n">
        <v>45790</v>
      </c>
      <c r="Y5" s="11" t="n">
        <v>45791</v>
      </c>
      <c r="Z5" s="11" t="n">
        <v>45792</v>
      </c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15" t="n"/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22" t="inlineStr">
        <is>
          <t>CHAPA_06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99.19</v>
      </c>
      <c r="N7" s="17" t="n">
        <v>0</v>
      </c>
      <c r="O7" s="17" t="n">
        <v>0</v>
      </c>
      <c r="P7" s="17" t="n">
        <v>99.2</v>
      </c>
      <c r="Q7" s="17" t="n">
        <v>99.19</v>
      </c>
      <c r="R7" s="17" t="n">
        <v>99.19</v>
      </c>
      <c r="S7" s="17" t="n">
        <v>99.19</v>
      </c>
      <c r="T7" s="17" t="n">
        <v>0</v>
      </c>
      <c r="U7" s="17" t="n">
        <v>0</v>
      </c>
      <c r="V7" s="17" t="n">
        <v>0</v>
      </c>
      <c r="W7" s="17" t="n">
        <v>99.19</v>
      </c>
      <c r="X7" s="17" t="n">
        <v>99.19</v>
      </c>
      <c r="Y7" s="17" t="n">
        <v>99.19</v>
      </c>
      <c r="Z7" s="17" t="n">
        <v>45.07</v>
      </c>
      <c r="AA7" s="18">
        <f>SUM(M7:Z7)</f>
        <v/>
      </c>
      <c r="AB7" s="13" t="inlineStr">
        <is>
          <t>OK</t>
        </is>
      </c>
    </row>
    <row r="8" ht="21" customHeight="1">
      <c r="A8" s="14" t="inlineStr">
        <is>
          <t>FRANCA</t>
        </is>
      </c>
      <c r="B8" s="24" t="inlineStr">
        <is>
          <t>CHAPA_15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99.19</v>
      </c>
      <c r="N8" s="17" t="n">
        <v>0</v>
      </c>
      <c r="O8" s="17" t="n">
        <v>0</v>
      </c>
      <c r="P8" s="17" t="n">
        <v>99.2</v>
      </c>
      <c r="Q8" s="17" t="n">
        <v>99.19</v>
      </c>
      <c r="R8" s="17" t="n">
        <v>99.19</v>
      </c>
      <c r="S8" s="17" t="n">
        <v>99.19</v>
      </c>
      <c r="T8" s="17" t="n">
        <v>0</v>
      </c>
      <c r="U8" s="17" t="n">
        <v>45.08</v>
      </c>
      <c r="V8" s="17" t="n">
        <v>45.08</v>
      </c>
      <c r="W8" s="17" t="n">
        <v>99.19</v>
      </c>
      <c r="X8" s="17" t="n">
        <v>99.19</v>
      </c>
      <c r="Y8" s="17" t="n">
        <v>99.19</v>
      </c>
      <c r="Z8" s="17" t="n">
        <v>99.19</v>
      </c>
      <c r="AA8" s="18">
        <f>SUM(M8:Z8)</f>
        <v/>
      </c>
      <c r="AB8" s="13" t="inlineStr">
        <is>
          <t>OK</t>
        </is>
      </c>
    </row>
    <row r="9" ht="21" customHeight="1">
      <c r="A9" s="14" t="inlineStr">
        <is>
          <t>FRANCA</t>
        </is>
      </c>
      <c r="B9" s="15" t="inlineStr">
        <is>
          <t>CHAPA_20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0</v>
      </c>
      <c r="N9" s="17" t="n">
        <v>0</v>
      </c>
      <c r="O9" s="17" t="n">
        <v>0</v>
      </c>
      <c r="P9" s="17" t="n">
        <v>99.19</v>
      </c>
      <c r="Q9" s="17" t="n">
        <v>99.19</v>
      </c>
      <c r="R9" s="17" t="n">
        <v>99.19</v>
      </c>
      <c r="S9" s="17" t="n">
        <v>99.19</v>
      </c>
      <c r="T9" s="17" t="n">
        <v>0</v>
      </c>
      <c r="U9" s="17" t="n">
        <v>0</v>
      </c>
      <c r="V9" s="17" t="n">
        <v>0</v>
      </c>
      <c r="W9" s="17" t="n">
        <v>99.19</v>
      </c>
      <c r="X9" s="17" t="n">
        <v>99.19</v>
      </c>
      <c r="Y9" s="17" t="n">
        <v>99.19</v>
      </c>
      <c r="Z9" s="17" t="n">
        <v>0</v>
      </c>
      <c r="AA9" s="18">
        <f>SUM(M9:Z9)</f>
        <v/>
      </c>
      <c r="AB9" s="13" t="inlineStr">
        <is>
          <t>OK</t>
        </is>
      </c>
    </row>
    <row r="10" ht="21" customHeight="1">
      <c r="A10" s="14" t="inlineStr">
        <is>
          <t>FRANCA</t>
        </is>
      </c>
      <c r="B10" s="24" t="inlineStr">
        <is>
          <t>CHAPA_32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99.19</v>
      </c>
      <c r="N10" s="17" t="n">
        <v>45.07</v>
      </c>
      <c r="O10" s="17" t="n">
        <v>0</v>
      </c>
      <c r="P10" s="17" t="n">
        <v>99.19</v>
      </c>
      <c r="Q10" s="17" t="n">
        <v>99.19</v>
      </c>
      <c r="R10" s="17" t="n">
        <v>99.19</v>
      </c>
      <c r="S10" s="17" t="n">
        <v>99.19</v>
      </c>
      <c r="T10" s="17" t="n">
        <v>0</v>
      </c>
      <c r="U10" s="17" t="n">
        <v>45.09</v>
      </c>
      <c r="V10" s="17" t="n">
        <v>45.09</v>
      </c>
      <c r="W10" s="17" t="n">
        <v>99.19</v>
      </c>
      <c r="X10" s="17" t="n">
        <v>99.19</v>
      </c>
      <c r="Y10" s="17" t="n">
        <v>99.19</v>
      </c>
      <c r="Z10" s="17" t="n">
        <v>99.19</v>
      </c>
      <c r="AA10" s="18">
        <f>SUM(M10:Z10)</f>
        <v/>
      </c>
      <c r="AB10" s="13" t="inlineStr">
        <is>
          <t>OK</t>
        </is>
      </c>
    </row>
    <row r="11" ht="21" customHeight="1">
      <c r="A11" s="14" t="inlineStr">
        <is>
          <t>FRANCA</t>
        </is>
      </c>
      <c r="B11" s="22" t="inlineStr">
        <is>
          <t>CHAPA_36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99.19</v>
      </c>
      <c r="N11" s="17" t="n">
        <v>45.07</v>
      </c>
      <c r="O11" s="17" t="n">
        <v>0</v>
      </c>
      <c r="P11" s="17" t="n">
        <v>99.19</v>
      </c>
      <c r="Q11" s="17" t="n">
        <v>99.19</v>
      </c>
      <c r="R11" s="17" t="n">
        <v>99.19</v>
      </c>
      <c r="S11" s="17" t="n">
        <v>99.19</v>
      </c>
      <c r="T11" s="17" t="n">
        <v>0</v>
      </c>
      <c r="U11" s="17" t="n">
        <v>0</v>
      </c>
      <c r="V11" s="17" t="n">
        <v>0</v>
      </c>
      <c r="W11" s="17" t="n">
        <v>99.19</v>
      </c>
      <c r="X11" s="17" t="n">
        <v>99.2</v>
      </c>
      <c r="Y11" s="17" t="n">
        <v>99.19</v>
      </c>
      <c r="Z11" s="17" t="n">
        <v>99.2</v>
      </c>
      <c r="AA11" s="18">
        <f>SUM(M11:Z11)</f>
        <v/>
      </c>
      <c r="AB11" s="13" t="inlineStr">
        <is>
          <t>OK</t>
        </is>
      </c>
    </row>
    <row r="12" ht="21" customHeight="1">
      <c r="A12" s="14" t="inlineStr">
        <is>
          <t>FRANCA</t>
        </is>
      </c>
      <c r="B12" s="15" t="inlineStr">
        <is>
          <t>CHAPA_38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>
        <v>124.55</v>
      </c>
      <c r="N12" s="17" t="n">
        <v>0</v>
      </c>
      <c r="O12" s="17" t="n">
        <v>0</v>
      </c>
      <c r="P12" s="17" t="n">
        <v>99.19</v>
      </c>
      <c r="Q12" s="17" t="n">
        <v>99.19</v>
      </c>
      <c r="R12" s="17" t="n">
        <v>99.19</v>
      </c>
      <c r="S12" s="17" t="n">
        <v>99.19</v>
      </c>
      <c r="T12" s="17" t="n">
        <v>0</v>
      </c>
      <c r="U12" s="17" t="n">
        <v>45.09</v>
      </c>
      <c r="V12" s="17" t="n">
        <v>45.09</v>
      </c>
      <c r="W12" s="17" t="n">
        <v>99.19</v>
      </c>
      <c r="X12" s="17" t="n">
        <v>99.2</v>
      </c>
      <c r="Y12" s="17" t="n">
        <v>99.19</v>
      </c>
      <c r="Z12" s="17" t="n">
        <v>99.20999999999999</v>
      </c>
      <c r="AA12" s="18">
        <f>SUM(M12:Z12)</f>
        <v/>
      </c>
      <c r="AB12" s="13" t="inlineStr">
        <is>
          <t>OK</t>
        </is>
      </c>
    </row>
    <row r="13" ht="21" customHeight="1">
      <c r="A13" s="14" t="inlineStr">
        <is>
          <t>FRANCA</t>
        </is>
      </c>
      <c r="B13" s="15" t="inlineStr">
        <is>
          <t>CHAPA_40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>
        <v>99.2</v>
      </c>
      <c r="N13" s="17" t="n">
        <v>45.07</v>
      </c>
      <c r="O13" s="17" t="n">
        <v>0</v>
      </c>
      <c r="P13" s="17" t="n">
        <v>99.19</v>
      </c>
      <c r="Q13" s="17" t="n">
        <v>99.2</v>
      </c>
      <c r="R13" s="17" t="n">
        <v>99.2</v>
      </c>
      <c r="S13" s="17" t="n">
        <v>99.2</v>
      </c>
      <c r="T13" s="17" t="n">
        <v>0</v>
      </c>
      <c r="U13" s="17" t="n">
        <v>0</v>
      </c>
      <c r="V13" s="17" t="n">
        <v>0</v>
      </c>
      <c r="W13" s="17" t="n">
        <v>73.26000000000001</v>
      </c>
      <c r="X13" s="17" t="n">
        <v>99.19</v>
      </c>
      <c r="Y13" s="17" t="n">
        <v>99.2</v>
      </c>
      <c r="Z13" s="17" t="n">
        <v>99.20999999999999</v>
      </c>
      <c r="AA13" s="18">
        <f>SUM(M13:Z13)</f>
        <v/>
      </c>
      <c r="AB13" s="13" t="inlineStr">
        <is>
          <t>OK</t>
        </is>
      </c>
    </row>
    <row r="14" ht="21" customHeight="1">
      <c r="A14" s="14" t="inlineStr">
        <is>
          <t>FRANCA</t>
        </is>
      </c>
      <c r="B14" s="15" t="inlineStr">
        <is>
          <t>CHAPA_41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99.2</v>
      </c>
      <c r="N14" s="17" t="n">
        <v>45.07</v>
      </c>
      <c r="O14" s="17" t="n">
        <v>0</v>
      </c>
      <c r="P14" s="17" t="n">
        <v>99.19</v>
      </c>
      <c r="Q14" s="17" t="n">
        <v>99.2</v>
      </c>
      <c r="R14" s="17" t="n">
        <v>99.2</v>
      </c>
      <c r="S14" s="17" t="n">
        <v>99.2</v>
      </c>
      <c r="T14" s="17" t="n">
        <v>0</v>
      </c>
      <c r="U14" s="17" t="n">
        <v>45.09</v>
      </c>
      <c r="V14" s="17" t="n">
        <v>45.09</v>
      </c>
      <c r="W14" s="17" t="n">
        <v>99.19</v>
      </c>
      <c r="X14" s="17" t="n">
        <v>0</v>
      </c>
      <c r="Y14" s="17" t="n">
        <v>99.2</v>
      </c>
      <c r="Z14" s="17" t="n">
        <v>93.54000000000001</v>
      </c>
      <c r="AA14" s="18">
        <f>SUM(M14:Z14)</f>
        <v/>
      </c>
      <c r="AB14" s="13" t="inlineStr">
        <is>
          <t>OK</t>
        </is>
      </c>
    </row>
    <row r="15" ht="21" customHeight="1">
      <c r="A15" s="14" t="inlineStr">
        <is>
          <t>FRANCA</t>
        </is>
      </c>
      <c r="B15" s="22" t="n"/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15" t="n"/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15" t="n"/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n"/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n"/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" customHeight="1"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" customHeight="1"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>
        <f>SUM(Z6:Z25)</f>
        <v/>
      </c>
      <c r="AA28" s="34" t="n"/>
      <c r="AB28" s="35">
        <f>SUM(M28:Z28)</f>
        <v/>
      </c>
    </row>
    <row r="29" ht="21" customHeight="1" thickBot="1">
      <c r="J29" s="10" t="n"/>
      <c r="K29" s="10" t="n"/>
      <c r="L29" s="10" t="n"/>
    </row>
    <row r="30" ht="21.6" customHeight="1" thickBot="1">
      <c r="A30" s="36" t="inlineStr">
        <is>
          <t>MÉDIA DIÁRIA CHAPAS</t>
        </is>
      </c>
      <c r="B30" s="36" t="n"/>
      <c r="C30" s="37" t="n">
        <v>9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.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/>
    <row r="33"/>
    <row r="34"/>
    <row r="35"/>
    <row r="36" customFormat="1" s="83"/>
    <row r="37"/>
    <row r="38" ht="15" customHeight="1" thickBot="1"/>
    <row r="39" ht="21" customHeight="1" thickBot="1">
      <c r="A39" s="111" t="inlineStr">
        <is>
          <t>2ª QUINZENA</t>
        </is>
      </c>
      <c r="B39" s="107" t="n"/>
      <c r="C39" s="107" t="n"/>
      <c r="D39" s="107" t="n"/>
      <c r="E39" s="107" t="n"/>
      <c r="F39" s="107" t="n"/>
      <c r="G39" s="107" t="n"/>
      <c r="H39" s="107" t="n"/>
      <c r="I39" s="107" t="n"/>
      <c r="J39" s="107" t="n"/>
      <c r="K39" s="108" t="n"/>
      <c r="L39" s="4" t="n"/>
      <c r="M39" s="112" t="inlineStr">
        <is>
          <t xml:space="preserve">TOTAL </t>
        </is>
      </c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10" t="n"/>
    </row>
    <row r="40" ht="21.6" customHeight="1" thickBot="1">
      <c r="A40" s="40" t="inlineStr">
        <is>
          <t>LOCAL</t>
        </is>
      </c>
      <c r="B40" s="40" t="inlineStr">
        <is>
          <t>NOME</t>
        </is>
      </c>
      <c r="C40" s="41" t="inlineStr">
        <is>
          <t>DIÁRIA</t>
        </is>
      </c>
      <c r="D40" s="41" t="inlineStr">
        <is>
          <t>DSR</t>
        </is>
      </c>
      <c r="E40" s="41" t="inlineStr">
        <is>
          <t>TOTAL</t>
        </is>
      </c>
      <c r="F40" s="41" t="inlineStr">
        <is>
          <t>FÉRIAS</t>
        </is>
      </c>
      <c r="G40" s="41" t="inlineStr">
        <is>
          <t>13º SALÁRIO</t>
        </is>
      </c>
      <c r="H40" s="41" t="inlineStr">
        <is>
          <t>FGTS</t>
        </is>
      </c>
      <c r="I40" s="42" t="inlineStr">
        <is>
          <t>T. 1º Q.</t>
        </is>
      </c>
      <c r="J40" s="42" t="inlineStr">
        <is>
          <t>INSS 1º</t>
        </is>
      </c>
      <c r="K40" s="43" t="inlineStr">
        <is>
          <t>INSS</t>
        </is>
      </c>
      <c r="L40" s="9" t="n"/>
      <c r="M40" s="44" t="n">
        <v>45793</v>
      </c>
      <c r="N40" s="44" t="n">
        <v>45794</v>
      </c>
      <c r="O40" s="44" t="n">
        <v>45796</v>
      </c>
      <c r="P40" s="44" t="n">
        <v>45797</v>
      </c>
      <c r="Q40" s="44" t="n">
        <v>45798</v>
      </c>
      <c r="R40" s="44" t="n">
        <v>45799</v>
      </c>
      <c r="S40" s="44" t="n">
        <v>45800</v>
      </c>
      <c r="T40" s="44" t="n">
        <v>45801</v>
      </c>
      <c r="U40" s="44" t="n">
        <v>45803</v>
      </c>
      <c r="V40" s="44" t="n">
        <v>45804</v>
      </c>
      <c r="W40" s="44" t="n">
        <v>45805</v>
      </c>
      <c r="X40" s="44" t="n">
        <v>45806</v>
      </c>
      <c r="Y40" s="44" t="n">
        <v>45807</v>
      </c>
      <c r="Z40" s="45" t="n">
        <v>45808</v>
      </c>
      <c r="AA40" s="8" t="inlineStr">
        <is>
          <t>TOTAL</t>
        </is>
      </c>
      <c r="AB40" s="13" t="n"/>
    </row>
    <row r="41" ht="21" customHeight="1">
      <c r="A41" s="46" t="inlineStr">
        <is>
          <t>FRANCA</t>
        </is>
      </c>
      <c r="B41" s="22" t="inlineStr">
        <is>
          <t>CHAPA_06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47">
        <f>IF(I12=0,0,VLOOKUP(B41,$B$6:$I$25,8,0))</f>
        <v/>
      </c>
      <c r="K41" s="48">
        <f>IF(E41+I41&lt;=$K$62,(E41+I41)*J77-J41,IF(E41+I41&lt;=$K$63,(E41+I41)*J78-J41,IF(E41+I41&lt;=$K$64,(E41+I41)*L79-J41,513.0125)))</f>
        <v/>
      </c>
      <c r="L41" s="9" t="n"/>
      <c r="M41" s="17" t="n">
        <v>99.19</v>
      </c>
      <c r="N41" s="17" t="n">
        <v>0</v>
      </c>
      <c r="O41" s="17" t="n">
        <v>99.19</v>
      </c>
      <c r="P41" s="17" t="n">
        <v>99.19</v>
      </c>
      <c r="Q41" s="17" t="n">
        <v>99.19</v>
      </c>
      <c r="R41" s="17" t="n">
        <v>99.19</v>
      </c>
      <c r="S41" s="17" t="n">
        <v>99.19</v>
      </c>
      <c r="T41" s="17" t="n">
        <v>0</v>
      </c>
      <c r="U41" s="17" t="n">
        <v>99.19</v>
      </c>
      <c r="V41" s="17" t="n">
        <v>99.19</v>
      </c>
      <c r="W41" s="17" t="n">
        <v>99.19</v>
      </c>
      <c r="X41" s="17" t="n">
        <v>99.19</v>
      </c>
      <c r="Y41" s="17" t="n">
        <v>99.19</v>
      </c>
      <c r="Z41" s="17" t="n">
        <v>0</v>
      </c>
      <c r="AA41" s="49">
        <f>SUM(M41:Z41)</f>
        <v/>
      </c>
      <c r="AB41" s="13" t="n"/>
    </row>
    <row r="42" ht="21" customHeight="1">
      <c r="A42" s="46" t="inlineStr">
        <is>
          <t>FRANCA</t>
        </is>
      </c>
      <c r="B42" s="24" t="inlineStr">
        <is>
          <t>CHAPA_15</t>
        </is>
      </c>
      <c r="C42" s="10">
        <f>AA42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IF(E42&lt;=$F$69,E42*$G$69,IF(E42&lt;=$F$70,E42*$G$70,IF(E42&lt;=$F$71,E42*$G$71,513.0125)))</f>
        <v/>
      </c>
      <c r="J42" s="47">
        <f>IF(#REF!=0,0,VLOOKUP(B42,$B$6:$I$25,8,0))</f>
        <v/>
      </c>
      <c r="K42" s="48">
        <f>IF(E42+I42&lt;=$K$62,(E42+I42)*J78-J42,IF(E42+I42&lt;=$K$63,(E42+I42)*J79-J42,IF(E42+I42&lt;=$K$64,(E42+I42)*L80-J42,513.0125)))</f>
        <v/>
      </c>
      <c r="L42" s="9" t="n"/>
      <c r="M42" s="17" t="n">
        <v>99.19</v>
      </c>
      <c r="N42" s="17" t="n">
        <v>45.07</v>
      </c>
      <c r="O42" s="17" t="n">
        <v>99.19</v>
      </c>
      <c r="P42" s="17" t="n">
        <v>99.19</v>
      </c>
      <c r="Q42" s="17" t="n">
        <v>99.19</v>
      </c>
      <c r="R42" s="17" t="n">
        <v>99.19</v>
      </c>
      <c r="S42" s="17" t="n">
        <v>99.19</v>
      </c>
      <c r="T42" s="17" t="n">
        <v>45.08</v>
      </c>
      <c r="U42" s="17" t="n">
        <v>99.19</v>
      </c>
      <c r="V42" s="17" t="n">
        <v>99.19</v>
      </c>
      <c r="W42" s="17" t="n">
        <v>99.19</v>
      </c>
      <c r="X42" s="17" t="n">
        <v>99.19</v>
      </c>
      <c r="Y42" s="17" t="n">
        <v>99.19</v>
      </c>
      <c r="Z42" s="17" t="n">
        <v>45.08</v>
      </c>
      <c r="AA42" s="49">
        <f>SUM(M42:Z42)</f>
        <v/>
      </c>
      <c r="AB42" s="13" t="n"/>
    </row>
    <row r="43" ht="21" customHeight="1">
      <c r="A43" s="46" t="inlineStr">
        <is>
          <t>FRANCA</t>
        </is>
      </c>
      <c r="B43" s="22" t="inlineStr">
        <is>
          <t>CHAPA_16</t>
        </is>
      </c>
      <c r="C43" s="10">
        <f>AA43</f>
        <v/>
      </c>
      <c r="D43" s="10">
        <f>C43*0.1818</f>
        <v/>
      </c>
      <c r="E43" s="10">
        <f>SUM(C43:D43)</f>
        <v/>
      </c>
      <c r="F43" s="10">
        <f>E43*0.1111</f>
        <v/>
      </c>
      <c r="G43" s="10">
        <f>E43*0.083</f>
        <v/>
      </c>
      <c r="H43" s="10">
        <f>SUM(E43:G43)*0.08</f>
        <v/>
      </c>
      <c r="I43" s="10">
        <f>IF(E43&lt;=$F$69,E43*$G$69,IF(E43&lt;=$F$70,E43*$G$70,IF(E43&lt;=$F$71,E43*$G$71,513.0125)))</f>
        <v/>
      </c>
      <c r="J43" s="47">
        <f>IF(I13=0,0,VLOOKUP(B43,$B$6:$I$25,8,0))</f>
        <v/>
      </c>
      <c r="K43" s="48">
        <f>IF(E43+I43&lt;=$K$62,(E43+I43)*J79-J43,IF(E43+I43&lt;=$K$63,(E43+I43)*J80-J43,IF(E43+I43&lt;=$K$64,(E43+I43)*L81-J43,513.0125)))</f>
        <v/>
      </c>
      <c r="L43" s="9" t="n"/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/>
      <c r="X43" s="17" t="n"/>
      <c r="Y43" s="17" t="n"/>
      <c r="Z43" s="17" t="n">
        <v>0</v>
      </c>
      <c r="AA43" s="49">
        <f>SUM(M43:Z43)</f>
        <v/>
      </c>
      <c r="AB43" s="13" t="n"/>
    </row>
    <row r="44" ht="21" customHeight="1">
      <c r="A44" s="46" t="inlineStr">
        <is>
          <t>FRANCA</t>
        </is>
      </c>
      <c r="B44" s="15" t="inlineStr">
        <is>
          <t>CHAPA_20</t>
        </is>
      </c>
      <c r="C44" s="10">
        <f>AA44</f>
        <v/>
      </c>
      <c r="D44" s="10">
        <f>C44*0.1818</f>
        <v/>
      </c>
      <c r="E44" s="10">
        <f>SUM(C44:D44)</f>
        <v/>
      </c>
      <c r="F44" s="10">
        <f>E44*0.1111</f>
        <v/>
      </c>
      <c r="G44" s="10">
        <f>E44*0.083</f>
        <v/>
      </c>
      <c r="H44" s="10">
        <f>SUM(E44:G44)*0.08</f>
        <v/>
      </c>
      <c r="I44" s="10">
        <f>IF(E44&lt;=$F$69,E44*$G$69,IF(E44&lt;=$F$70,E44*$G$70,IF(E44&lt;=$F$71,E44*$G$71,513.0125)))</f>
        <v/>
      </c>
      <c r="J44" s="47">
        <f>IF(I14=0,0,VLOOKUP(B44,$B$6:$I$25,8,0))</f>
        <v/>
      </c>
      <c r="K44" s="48">
        <f>IF(E44+I44&lt;=$K$62,(E44+I44)*J80-J44,IF(E44+I44&lt;=$K$63,(E44+I44)*J81-J44,IF(E44+I44&lt;=$K$64,(E44+I44)*L82-J44,513.0125)))</f>
        <v/>
      </c>
      <c r="L44" s="9" t="n"/>
      <c r="M44" s="84" t="n">
        <v>99.19</v>
      </c>
      <c r="N44" s="84" t="n">
        <v>0</v>
      </c>
      <c r="O44" s="84" t="n">
        <v>99.19</v>
      </c>
      <c r="P44" s="17" t="n">
        <v>99.19</v>
      </c>
      <c r="Q44" s="17" t="n">
        <v>99.19</v>
      </c>
      <c r="R44" s="17" t="n">
        <v>99.19</v>
      </c>
      <c r="S44" s="17" t="n">
        <v>99.19</v>
      </c>
      <c r="T44" s="17" t="n">
        <v>0</v>
      </c>
      <c r="U44" s="17" t="n">
        <v>99.19</v>
      </c>
      <c r="V44" s="17" t="n">
        <v>99.19</v>
      </c>
      <c r="W44" s="17" t="n">
        <v>99.19</v>
      </c>
      <c r="X44" s="17" t="n">
        <v>99.19</v>
      </c>
      <c r="Y44" s="17" t="n"/>
      <c r="Z44" s="17" t="n">
        <v>0</v>
      </c>
      <c r="AA44" s="49">
        <f>SUM(M44:Z44)</f>
        <v/>
      </c>
      <c r="AB44" s="13" t="n"/>
    </row>
    <row r="45" ht="21" customHeight="1">
      <c r="A45" s="46" t="inlineStr">
        <is>
          <t>FRANCA</t>
        </is>
      </c>
      <c r="B45" s="22" t="inlineStr">
        <is>
          <t>CHAPA_23</t>
        </is>
      </c>
      <c r="C45" s="10">
        <f>AA45</f>
        <v/>
      </c>
      <c r="D45" s="10">
        <f>C45*0.1818</f>
        <v/>
      </c>
      <c r="E45" s="10">
        <f>SUM(C45:D45)</f>
        <v/>
      </c>
      <c r="F45" s="10">
        <f>E45*0.1111</f>
        <v/>
      </c>
      <c r="G45" s="10">
        <f>E45*0.083</f>
        <v/>
      </c>
      <c r="H45" s="10">
        <f>SUM(E45:G45)*0.08</f>
        <v/>
      </c>
      <c r="I45" s="10">
        <f>IF(E45&lt;=$F$69,E45*$G$69,IF(E45&lt;=$F$70,E45*$G$70,IF(E45&lt;=$F$71,E45*$G$71,513.0125)))</f>
        <v/>
      </c>
      <c r="J45" s="47">
        <f>IF(#REF!=0,0,VLOOKUP(B45,$B$6:$I$25,8,0))</f>
        <v/>
      </c>
      <c r="K45" s="48">
        <f>IF(E45+I45&lt;=$K$62,(E45+I45)*J81-J45,IF(E45+I45&lt;=$K$63,(E45+I45)*J82-J45,IF(E45+I45&lt;=$K$64,(E45+I45)*L83-J45,513.0125)))</f>
        <v/>
      </c>
      <c r="L45" s="9" t="n"/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/>
      <c r="X45" s="17" t="n"/>
      <c r="Y45" s="17" t="n"/>
      <c r="Z45" s="17" t="n">
        <v>0</v>
      </c>
      <c r="AA45" s="49">
        <f>SUM(M45:Z45)</f>
        <v/>
      </c>
      <c r="AB45" s="13" t="n"/>
    </row>
    <row r="46" ht="21" customHeight="1">
      <c r="A46" s="46" t="inlineStr">
        <is>
          <t>FRANCA</t>
        </is>
      </c>
      <c r="B46" s="24" t="inlineStr">
        <is>
          <t>CHAPA_32</t>
        </is>
      </c>
      <c r="C46" s="10">
        <f>AA46</f>
        <v/>
      </c>
      <c r="D46" s="10">
        <f>C46*0.1818</f>
        <v/>
      </c>
      <c r="E46" s="10">
        <f>SUM(C46:D46)</f>
        <v/>
      </c>
      <c r="F46" s="10">
        <f>E46*0.1111</f>
        <v/>
      </c>
      <c r="G46" s="10">
        <f>E46*0.083</f>
        <v/>
      </c>
      <c r="H46" s="10">
        <f>SUM(E46:G46)*0.08</f>
        <v/>
      </c>
      <c r="I46" s="10">
        <f>IF(E46&lt;=$F$69,E46*$G$69,IF(E46&lt;=$F$70,E46*$G$70,IF(E46&lt;=$F$71,E46*$G$71,513.0125)))</f>
        <v/>
      </c>
      <c r="J46" s="47">
        <f>IF(I15=0,0,VLOOKUP(B46,$B$6:$I$25,8,0))</f>
        <v/>
      </c>
      <c r="K46" s="48">
        <f>IF(E46+I46&lt;=$K$62,(E46+I46)*J82-J46,IF(E46+I46&lt;=$K$63,(E46+I46)*J83-J46,IF(E46+I46&lt;=$K$64,(E46+I46)*L84-J46,513.0125)))</f>
        <v/>
      </c>
      <c r="L46" s="9" t="n"/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99.19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/>
      <c r="X46" s="17" t="n"/>
      <c r="Y46" s="17" t="n"/>
      <c r="Z46" s="17" t="n">
        <v>0</v>
      </c>
      <c r="AA46" s="49">
        <f>SUM(M46:Z46)</f>
        <v/>
      </c>
      <c r="AB46" s="13" t="n"/>
    </row>
    <row r="47" ht="21" customHeight="1">
      <c r="A47" s="46" t="inlineStr">
        <is>
          <t>FRANCA</t>
        </is>
      </c>
      <c r="B47" s="22" t="inlineStr">
        <is>
          <t>CHAPA_36</t>
        </is>
      </c>
      <c r="C47" s="10">
        <f>AA47</f>
        <v/>
      </c>
      <c r="D47" s="10">
        <f>C47*0.1818</f>
        <v/>
      </c>
      <c r="E47" s="10">
        <f>SUM(C47:D47)</f>
        <v/>
      </c>
      <c r="F47" s="10">
        <f>E47*0.1111</f>
        <v/>
      </c>
      <c r="G47" s="10">
        <f>E47*0.083</f>
        <v/>
      </c>
      <c r="H47" s="10">
        <f>SUM(E47:G47)*0.08</f>
        <v/>
      </c>
      <c r="I47" s="10">
        <f>IF(E47&lt;=$F$69,E47*$G$69,IF(E47&lt;=$F$70,E47*$G$70,IF(E47&lt;=$F$71,E47*$G$71,513.0125)))</f>
        <v/>
      </c>
      <c r="J47" s="47">
        <f>IF(I16=0,0,VLOOKUP(B47,$B$6:$I$25,8,0))</f>
        <v/>
      </c>
      <c r="K47" s="48">
        <f>IF(E47+I47&lt;=$K$62,(E47+I47)*J83-J47,IF(E47+I47&lt;=$K$63,(E47+I47)*J84-J47,IF(E47+I47&lt;=$K$64,(E47+I47)*L85-J47,513.0125)))</f>
        <v/>
      </c>
      <c r="L47" s="9" t="n"/>
      <c r="M47" s="17" t="n">
        <v>0</v>
      </c>
      <c r="N47" s="17" t="n">
        <v>45.07</v>
      </c>
      <c r="O47" s="17" t="n">
        <v>78.89</v>
      </c>
      <c r="P47" s="17" t="n">
        <v>99.19</v>
      </c>
      <c r="Q47" s="17" t="n">
        <v>99.19</v>
      </c>
      <c r="R47" s="17" t="n">
        <v>99.19</v>
      </c>
      <c r="S47" s="17" t="n">
        <v>99.19</v>
      </c>
      <c r="T47" s="17" t="n">
        <v>0</v>
      </c>
      <c r="U47" s="17" t="n">
        <v>99.19</v>
      </c>
      <c r="V47" s="17" t="n">
        <v>99.19</v>
      </c>
      <c r="W47" s="17" t="n">
        <v>99.19</v>
      </c>
      <c r="X47" s="17" t="n">
        <v>99.19</v>
      </c>
      <c r="Y47" s="17" t="n">
        <v>61.99</v>
      </c>
      <c r="Z47" s="17" t="n">
        <v>45.08</v>
      </c>
      <c r="AA47" s="49">
        <f>SUM(M47:Z47)</f>
        <v/>
      </c>
      <c r="AB47" s="13" t="n"/>
    </row>
    <row r="48" ht="21" customHeight="1">
      <c r="A48" s="46" t="inlineStr">
        <is>
          <t>FRANCA</t>
        </is>
      </c>
      <c r="B48" s="15" t="inlineStr">
        <is>
          <t>CHAPA_38</t>
        </is>
      </c>
      <c r="C48" s="50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IF(I17=0,0,VLOOKUP(B48,$B$6:$I$25,8,0))</f>
        <v/>
      </c>
      <c r="K48" s="48">
        <f>IF(E48+I48&lt;=$K$62,(E48+I48)*J84-J48,IF(E48+I48&lt;=$K$63,(E48+I48)*J85-J48,IF(E48+I48&lt;=$K$64,(E48+I48)*L86-J48,513.0125)))</f>
        <v/>
      </c>
      <c r="L48" s="9" t="n"/>
      <c r="M48" s="17" t="n">
        <v>99.19</v>
      </c>
      <c r="N48" s="17" t="n">
        <v>45.09</v>
      </c>
      <c r="O48" s="17" t="n">
        <v>99.19</v>
      </c>
      <c r="P48" s="17" t="n">
        <v>99.19</v>
      </c>
      <c r="Q48" s="17" t="n">
        <v>99.19</v>
      </c>
      <c r="R48" s="17" t="n">
        <v>99.19</v>
      </c>
      <c r="S48" s="17" t="n">
        <v>99.19</v>
      </c>
      <c r="T48" s="17" t="n">
        <v>45.09</v>
      </c>
      <c r="U48" s="17" t="n">
        <v>99.19</v>
      </c>
      <c r="V48" s="17" t="n">
        <v>99.19</v>
      </c>
      <c r="W48" s="17" t="n">
        <v>99.19</v>
      </c>
      <c r="X48" s="17" t="n">
        <v>99.19</v>
      </c>
      <c r="Y48" s="17" t="n">
        <v>175.27</v>
      </c>
      <c r="Z48" s="17" t="n">
        <v>171.87</v>
      </c>
      <c r="AA48" s="49">
        <f>SUM(M48:Z48)</f>
        <v/>
      </c>
      <c r="AB48" s="13" t="n"/>
    </row>
    <row r="49" ht="21" customHeight="1">
      <c r="A49" s="46" t="inlineStr">
        <is>
          <t>FRANCA</t>
        </is>
      </c>
      <c r="B49" s="15" t="inlineStr">
        <is>
          <t>CHAPA_40</t>
        </is>
      </c>
      <c r="C49" s="50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IF(I18=0,0,VLOOKUP(#REF!,$B$6:$I$25,8,0))</f>
        <v/>
      </c>
      <c r="K49" s="48">
        <f>IF(E49+I49&lt;=$K$62,(E49+I49)*J85-J49,IF(E49+I49&lt;=$K$63,(E49+I49)*J86-J49,IF(E49+I49&lt;=$K$64,(E49+I49)*L87-J49,513.0125)))</f>
        <v/>
      </c>
      <c r="L49" s="9" t="n"/>
      <c r="M49" s="17" t="n">
        <v>99.2</v>
      </c>
      <c r="N49" s="17" t="n">
        <v>45.1</v>
      </c>
      <c r="O49" s="17" t="n">
        <v>99.19</v>
      </c>
      <c r="P49" s="17" t="n">
        <v>45.1</v>
      </c>
      <c r="Q49" s="17" t="n">
        <v>99.2</v>
      </c>
      <c r="R49" s="17" t="n">
        <v>99.2</v>
      </c>
      <c r="S49" s="17" t="n">
        <v>99.2</v>
      </c>
      <c r="T49" s="17" t="n">
        <v>0</v>
      </c>
      <c r="U49" s="17" t="n">
        <v>99.2</v>
      </c>
      <c r="V49" s="17" t="n">
        <v>99.19</v>
      </c>
      <c r="W49" s="17" t="n">
        <v>99.19</v>
      </c>
      <c r="X49" s="17" t="n">
        <v>99.19</v>
      </c>
      <c r="Y49" s="17" t="n">
        <v>0</v>
      </c>
      <c r="Z49" s="17" t="n">
        <v>0</v>
      </c>
      <c r="AA49" s="49">
        <f>SUM(M49:Z49)</f>
        <v/>
      </c>
      <c r="AB49" s="13" t="n"/>
    </row>
    <row r="50" ht="21" customHeight="1">
      <c r="A50" s="46" t="inlineStr">
        <is>
          <t>FRANCA</t>
        </is>
      </c>
      <c r="B50" s="15" t="inlineStr">
        <is>
          <t>CHAPA_41</t>
        </is>
      </c>
      <c r="C50" s="50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IF(I19=0,0,VLOOKUP(B49,$B$6:$I$25,8,0))</f>
        <v/>
      </c>
      <c r="K50" s="48">
        <f>IF(E50+I50&lt;=$K$62,(E50+I50)*J86-J50,IF(E50+I50&lt;=$K$63,(E50+I50)*J87-J50,IF(E50+I50&lt;=$K$64,(E50+I50)*L88-J50,513.0125)))</f>
        <v/>
      </c>
      <c r="L50" s="9" t="n"/>
      <c r="M50" s="17" t="n">
        <v>99.2</v>
      </c>
      <c r="N50" s="17" t="n">
        <v>45.1</v>
      </c>
      <c r="O50" s="17" t="n">
        <v>99.19</v>
      </c>
      <c r="P50" s="17" t="n">
        <v>99.2</v>
      </c>
      <c r="Q50" s="17" t="n">
        <v>99.2</v>
      </c>
      <c r="R50" s="17" t="n">
        <v>99.2</v>
      </c>
      <c r="S50" s="17" t="n">
        <v>99.2</v>
      </c>
      <c r="T50" s="17" t="n">
        <v>45.09</v>
      </c>
      <c r="U50" s="17" t="n">
        <v>99.2</v>
      </c>
      <c r="V50" s="17" t="n">
        <v>99.19</v>
      </c>
      <c r="W50" s="17" t="n">
        <v>99.19</v>
      </c>
      <c r="X50" s="17" t="n">
        <v>99.19</v>
      </c>
      <c r="Y50" s="17" t="n">
        <v>166.81</v>
      </c>
      <c r="Z50" s="17" t="n">
        <v>95.79000000000001</v>
      </c>
      <c r="AA50" s="49">
        <f>SUM(M50:Z50)</f>
        <v/>
      </c>
      <c r="AB50" s="13" t="n"/>
    </row>
    <row r="51" ht="21" customHeight="1">
      <c r="A51" s="46" t="inlineStr">
        <is>
          <t>FRANCA</t>
        </is>
      </c>
      <c r="B51" s="15" t="inlineStr">
        <is>
          <t>CHAPA_18</t>
        </is>
      </c>
      <c r="C51" s="50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IF(I20=0,0,VLOOKUP(B50,$B$6:$I$25,8,0))</f>
        <v/>
      </c>
      <c r="K51" s="48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49">
        <f>SUM(M51:Z51)</f>
        <v/>
      </c>
      <c r="AB51" s="13" t="n"/>
    </row>
    <row r="52" ht="21" customHeight="1">
      <c r="A52" s="46" t="inlineStr">
        <is>
          <t>FRANCA</t>
        </is>
      </c>
      <c r="B52" s="15" t="inlineStr">
        <is>
          <t>CHAPA_10</t>
        </is>
      </c>
      <c r="C52" s="50">
        <f>AA52</f>
        <v/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IF(I21=0,0,VLOOKUP(B51,$B$6:$I$25,8,0))</f>
        <v/>
      </c>
      <c r="K52" s="48">
        <f>IF(E52+I52&lt;=$K$62,(E52+I52)*J88-J52,IF(E52+I52&lt;=$K$63,(E52+I52)*J89-J52,IF(E52+I52&lt;=$K$64,(E52+I52)*L90-J52,513.0125)))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49">
        <f>SUM(M52:Z52)</f>
        <v/>
      </c>
      <c r="AB52" s="13" t="n"/>
    </row>
    <row r="53" ht="21" customHeight="1">
      <c r="A53" s="46" t="inlineStr">
        <is>
          <t>FRANCA</t>
        </is>
      </c>
      <c r="B53" s="15" t="inlineStr">
        <is>
          <t>CHAPA_34</t>
        </is>
      </c>
      <c r="C53" s="50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IF(E53+I53&lt;=$K$62,(E53+I53)*J89-J53,IF(E53+I53&lt;=$K$63,(E53+I53)*J90-J53,IF(E53+I53&lt;=$K$64,(E53+I53)*L91-J53,513.0125)))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49">
        <f>SUM(M53:Z53)</f>
        <v/>
      </c>
      <c r="AB53" s="13" t="n"/>
    </row>
    <row r="54" ht="21" customHeight="1">
      <c r="A54" s="46" t="inlineStr">
        <is>
          <t>FRANCA</t>
        </is>
      </c>
      <c r="B54" s="15" t="inlineStr">
        <is>
          <t>CHAPA_33</t>
        </is>
      </c>
      <c r="C54" s="50">
        <f>AA54</f>
        <v/>
      </c>
      <c r="D54" s="50">
        <f>C54*0.1818</f>
        <v/>
      </c>
      <c r="E54" s="50">
        <f>SUM(C54:D54)</f>
        <v/>
      </c>
      <c r="F54" s="50">
        <f>E54*0.1111</f>
        <v/>
      </c>
      <c r="G54" s="50">
        <f>E54*0.083</f>
        <v/>
      </c>
      <c r="H54" s="50">
        <f>SUM(E54:G54)*0.08</f>
        <v/>
      </c>
      <c r="I54" s="47">
        <f>AA23</f>
        <v/>
      </c>
      <c r="J54" s="47">
        <f>IF(I23=0,0,VLOOKUP(B54,$B$6:$I$25,8,0))</f>
        <v/>
      </c>
      <c r="K54" s="48">
        <f>IF(E54+I54&lt;=$K$62,(E54+I54)*J90-J54,IF(E54+I54&lt;=$K$63,(E54+I54)*J91-J54,IF(E54+I54&lt;=$K$64,(E54+I54)*L92-J54,513.0125)))</f>
        <v/>
      </c>
      <c r="L54" s="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49">
        <f>SUM(M54:Z54)</f>
        <v/>
      </c>
      <c r="AB54" s="13" t="n"/>
    </row>
    <row r="55" ht="21" customHeight="1">
      <c r="A55" s="46" t="inlineStr">
        <is>
          <t>FRANCA</t>
        </is>
      </c>
      <c r="B55" s="15" t="inlineStr">
        <is>
          <t>CHAPA_43</t>
        </is>
      </c>
      <c r="C55" s="50">
        <f>AA55</f>
        <v/>
      </c>
      <c r="D55" s="50">
        <f>C55*0.1818</f>
        <v/>
      </c>
      <c r="E55" s="50">
        <f>SUM(C55:D55)</f>
        <v/>
      </c>
      <c r="F55" s="50">
        <f>E55*0.1111</f>
        <v/>
      </c>
      <c r="G55" s="50">
        <f>E55*0.083</f>
        <v/>
      </c>
      <c r="H55" s="50">
        <f>SUM(E55:G55)*0.08</f>
        <v/>
      </c>
      <c r="I55" s="47">
        <f>AA24</f>
        <v/>
      </c>
      <c r="J55" s="47">
        <f>IF(I24=0,0,VLOOKUP(B55,$B$6:$I$25,8,0))</f>
        <v/>
      </c>
      <c r="K55" s="48">
        <f>IF(E55+I55&lt;=$K$62,(E55+I55)*J91-J55,IF(E55+I55&lt;=$K$63,(E55+I55)*J92-J55,IF(E55+I55&lt;=$K$64,(E55+I55)*L93-J55,513.0125)))</f>
        <v/>
      </c>
      <c r="L55" s="9" t="n"/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99.19</v>
      </c>
      <c r="X55" s="17" t="n">
        <v>99.19</v>
      </c>
      <c r="Y55" s="17" t="n">
        <v>99.19</v>
      </c>
      <c r="Z55" s="17" t="n">
        <v>0</v>
      </c>
      <c r="AA55" s="49">
        <f>SUM(M55:Z55)</f>
        <v/>
      </c>
      <c r="AB55" s="13" t="n"/>
    </row>
    <row r="56" ht="21" customHeight="1">
      <c r="A56" s="46" t="inlineStr">
        <is>
          <t>FRANCA</t>
        </is>
      </c>
      <c r="B56" s="15" t="n"/>
      <c r="C56" s="50">
        <f>AA56</f>
        <v/>
      </c>
      <c r="D56" s="50">
        <f>C56*0.1818</f>
        <v/>
      </c>
      <c r="E56" s="50">
        <f>SUM(C56:D56)</f>
        <v/>
      </c>
      <c r="F56" s="50">
        <f>E56*0.1111</f>
        <v/>
      </c>
      <c r="G56" s="50">
        <f>E56*0.083</f>
        <v/>
      </c>
      <c r="H56" s="50">
        <f>SUM(E56:G56)*0.08</f>
        <v/>
      </c>
      <c r="I56" s="47">
        <f>AA25</f>
        <v/>
      </c>
      <c r="J56" s="47">
        <f>IF(I25=0,0,VLOOKUP(B56,$B$6:$I$25,8,0))</f>
        <v/>
      </c>
      <c r="K56" s="48">
        <f>IF(E56+I56&lt;=$K$62,(E56+I56)*J92-J56,IF(E56+I56&lt;=$K$63,(E56+I56)*J93-J56,IF(E56+I56&lt;=$K$64,(E56+I56)*L94-J56,513.0125)))</f>
        <v/>
      </c>
      <c r="L56" s="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51" t="n"/>
      <c r="AA56" s="49">
        <f>SUM(M56:Z56)</f>
        <v/>
      </c>
      <c r="AB56" s="13" t="n"/>
    </row>
    <row r="57" ht="21" customHeight="1">
      <c r="A57" s="46" t="inlineStr">
        <is>
          <t>FRANCA</t>
        </is>
      </c>
      <c r="B57" s="15" t="n"/>
      <c r="C57" s="50">
        <f>AA57</f>
        <v/>
      </c>
      <c r="D57" s="50">
        <f>C57*0.1818</f>
        <v/>
      </c>
      <c r="E57" s="50">
        <f>SUM(C57:D57)</f>
        <v/>
      </c>
      <c r="F57" s="50">
        <f>E57*0.1111</f>
        <v/>
      </c>
      <c r="G57" s="50">
        <f>E57*0.083</f>
        <v/>
      </c>
      <c r="H57" s="50">
        <f>SUM(E57:G57)*0.08</f>
        <v/>
      </c>
      <c r="I57" s="47">
        <f>AA26</f>
        <v/>
      </c>
      <c r="J57" s="47">
        <f>IF(I26=0,0,VLOOKUP(B57,$B$6:$I$25,8,0))</f>
        <v/>
      </c>
      <c r="K57" s="48">
        <f>IF(E57+I57&lt;=$K$62,(E57+I57)*J93-J57,IF(E57+I57&lt;=$K$63,(E57+I57)*J94-J57,IF(E57+I57&lt;=$K$64,(E57+I57)*L95-J57,513.0125)))</f>
        <v/>
      </c>
      <c r="L57" s="9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51" t="n"/>
      <c r="AA57" s="49">
        <f>SUM(M57:Z57)</f>
        <v/>
      </c>
      <c r="AB57" s="13" t="n"/>
    </row>
    <row r="58" ht="21" customHeight="1">
      <c r="A58" s="46" t="inlineStr">
        <is>
          <t>FRANCA</t>
        </is>
      </c>
      <c r="B58" s="15" t="n"/>
      <c r="C58" s="50">
        <f>AA58</f>
        <v/>
      </c>
      <c r="D58" s="50">
        <f>C58*0.1818</f>
        <v/>
      </c>
      <c r="E58" s="50">
        <f>SUM(C58:D58)</f>
        <v/>
      </c>
      <c r="F58" s="50">
        <f>E58*0.1111</f>
        <v/>
      </c>
      <c r="G58" s="50">
        <f>E58*0.083</f>
        <v/>
      </c>
      <c r="H58" s="50">
        <f>SUM(E58:G58)*0.08</f>
        <v/>
      </c>
      <c r="I58" s="47">
        <f>AA27</f>
        <v/>
      </c>
      <c r="J58" s="47">
        <f>IF(I27=0,0,VLOOKUP(B58,$B$6:$I$25,8,0))</f>
        <v/>
      </c>
      <c r="K58" s="48">
        <f>IF(E58+I58&lt;=$K$62,(E58+I58)*J94-J58,IF(E58+I58&lt;=$K$63,(E58+I58)*J95-J58,IF(E58+I58&lt;=$K$64,(E58+I58)*L96-J58,513.0125)))</f>
        <v/>
      </c>
      <c r="L58" s="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51" t="n"/>
      <c r="AA58" s="49">
        <f>SUM(M58:Z58)</f>
        <v/>
      </c>
      <c r="AB58" s="13" t="n"/>
    </row>
    <row r="59" ht="21" customHeight="1">
      <c r="A59" s="46" t="inlineStr">
        <is>
          <t>FRANCA</t>
        </is>
      </c>
      <c r="B59" s="15" t="n"/>
      <c r="C59" s="50">
        <f>AA59</f>
        <v/>
      </c>
      <c r="D59" s="50">
        <f>C59*0.1818</f>
        <v/>
      </c>
      <c r="E59" s="50">
        <f>SUM(C59:D59)</f>
        <v/>
      </c>
      <c r="F59" s="50">
        <f>E59*0.1111</f>
        <v/>
      </c>
      <c r="G59" s="50">
        <f>E59*0.083</f>
        <v/>
      </c>
      <c r="H59" s="50">
        <f>SUM(E59:G59)*0.08</f>
        <v/>
      </c>
      <c r="I59" s="47">
        <f>AA28</f>
        <v/>
      </c>
      <c r="J59" s="47">
        <f>IF(I28=0,0,VLOOKUP(B59,$B$6:$I$25,8,0))</f>
        <v/>
      </c>
      <c r="K59" s="48">
        <f>IF(E59+I59&lt;=$K$62,(E59+I59)*J95-J59,IF(E59+I59&lt;=$K$63,(E59+I59)*J96-J59,IF(E59+I59&lt;=$K$64,(E59+I59)*L97-J59,513.0125)))</f>
        <v/>
      </c>
      <c r="L59" s="9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51" t="n"/>
      <c r="Z59" s="51" t="n"/>
      <c r="AA59" s="49">
        <f>SUM(M59:Z59)</f>
        <v/>
      </c>
      <c r="AB59" s="13" t="n"/>
    </row>
    <row r="60" ht="21" customHeight="1">
      <c r="A60" s="46" t="inlineStr">
        <is>
          <t>FRANCA</t>
        </is>
      </c>
      <c r="B60" s="15" t="n"/>
      <c r="C60" s="50">
        <f>AA60</f>
        <v/>
      </c>
      <c r="D60" s="50">
        <f>C60*0.1818</f>
        <v/>
      </c>
      <c r="E60" s="50">
        <f>SUM(C60:D60)</f>
        <v/>
      </c>
      <c r="F60" s="50">
        <f>E60*0.1111</f>
        <v/>
      </c>
      <c r="G60" s="50">
        <f>E60*0.083</f>
        <v/>
      </c>
      <c r="H60" s="50">
        <f>SUM(E60:G60)*0.08</f>
        <v/>
      </c>
      <c r="I60" s="47">
        <f>AA29</f>
        <v/>
      </c>
      <c r="J60" s="47">
        <f>IF(I29=0,0,VLOOKUP(B60,$B$6:$I$25,8,0))</f>
        <v/>
      </c>
      <c r="K60" s="48">
        <f>IF(E60+I60&lt;=$K$62,(E60+I60)*J96-J60,IF(E60+I60&lt;=$K$63,(E60+I60)*J97-J60,IF(E60+I60&lt;=$K$64,(E60+I60)*L98-J60,513.0125)))</f>
        <v/>
      </c>
      <c r="L60" s="9" t="n"/>
      <c r="M60" s="17" t="n"/>
      <c r="N60" s="52" t="n"/>
      <c r="O60" s="52" t="n"/>
      <c r="P60" s="17" t="n"/>
      <c r="Q60" s="52" t="n"/>
      <c r="R60" s="17" t="n"/>
      <c r="S60" s="52" t="n"/>
      <c r="T60" s="17" t="n"/>
      <c r="U60" s="17" t="n"/>
      <c r="V60" s="52" t="n"/>
      <c r="W60" s="51" t="n"/>
      <c r="X60" s="51" t="n"/>
      <c r="Y60" s="51" t="n"/>
      <c r="Z60" s="51" t="n"/>
      <c r="AA60" s="49">
        <f>SUM(M60:Z60)</f>
        <v/>
      </c>
      <c r="AB60" s="13" t="n"/>
    </row>
    <row r="61" ht="21" customHeight="1">
      <c r="A61" s="46" t="inlineStr">
        <is>
          <t>FRANCA</t>
        </is>
      </c>
      <c r="B61" s="15" t="n"/>
      <c r="C61" s="50">
        <f>AA61</f>
        <v/>
      </c>
      <c r="D61" s="50">
        <f>C61*0.1818</f>
        <v/>
      </c>
      <c r="E61" s="50">
        <f>SUM(C61:D61)</f>
        <v/>
      </c>
      <c r="F61" s="50">
        <f>E61*0.1111</f>
        <v/>
      </c>
      <c r="G61" s="50">
        <f>E61*0.083</f>
        <v/>
      </c>
      <c r="H61" s="50">
        <f>SUM(E61:G61)*0.08</f>
        <v/>
      </c>
      <c r="I61" s="47">
        <f>AA30</f>
        <v/>
      </c>
      <c r="J61" s="47">
        <f>IF(I30=0,0,VLOOKUP(B61,$B$6:$I$25,8,0))</f>
        <v/>
      </c>
      <c r="K61" s="48">
        <f>IF(E61+I61&lt;=$K$62,(E61+I61)*J97-J61,IF(E61+I61&lt;=$K$63,(E61+I61)*J98-J61,IF(E61+I61&lt;=$K$64,(E61+I61)*L99-J61,513.0125)))</f>
        <v/>
      </c>
      <c r="L61" s="9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1" t="n"/>
      <c r="X61" s="51" t="n"/>
      <c r="Y61" s="51" t="n"/>
      <c r="Z61" s="51" t="n"/>
      <c r="AA61" s="49">
        <f>SUM(M61:Z61)</f>
        <v/>
      </c>
      <c r="AB61" s="13" t="n"/>
    </row>
    <row r="62" ht="21.6" customHeight="1" thickBot="1">
      <c r="A62" s="46" t="inlineStr">
        <is>
          <t>FRANCA</t>
        </is>
      </c>
      <c r="B62" s="53" t="n"/>
      <c r="C62" s="54">
        <f>AA62</f>
        <v/>
      </c>
      <c r="D62" s="54">
        <f>C62*0.1818</f>
        <v/>
      </c>
      <c r="E62" s="54">
        <f>SUM(C62:D62)</f>
        <v/>
      </c>
      <c r="F62" s="54">
        <f>E62*0.1111</f>
        <v/>
      </c>
      <c r="G62" s="54">
        <f>E62*0.083</f>
        <v/>
      </c>
      <c r="H62" s="54">
        <f>SUM(E62:G62)*0.08</f>
        <v/>
      </c>
      <c r="I62" s="55">
        <f>AA31</f>
        <v/>
      </c>
      <c r="J62" s="55">
        <f>IF(I31=0,0,VLOOKUP(B62,$B$6:$I$25,8,0))</f>
        <v/>
      </c>
      <c r="K62" s="56">
        <f>IF(E62+I62&lt;=$K$62,(E62+I62)*J98-J62,IF(E62+I62&lt;=$K$63,(E62+I62)*J99-J62,IF(E62+I62&lt;=$K$64,(E62+I62)*L100-J62,513.0125)))</f>
        <v/>
      </c>
      <c r="L62" s="9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49">
        <f>SUM(M62:Z62)</f>
        <v/>
      </c>
      <c r="AB62" s="13" t="n"/>
    </row>
    <row r="63" ht="21" customHeight="1" thickBo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28" t="n"/>
      <c r="N63" s="28">
        <f>COUNT(#REF!)</f>
        <v/>
      </c>
      <c r="O63" s="28">
        <f>COUNT(#REF!)</f>
        <v/>
      </c>
      <c r="P63" s="28" t="n">
        <v>29</v>
      </c>
      <c r="Q63" s="28">
        <f>COUNT(#REF!)</f>
        <v/>
      </c>
      <c r="R63" s="28">
        <f>COUNT(#REF!)</f>
        <v/>
      </c>
      <c r="S63" s="28">
        <f>COUNT(#REF!)</f>
        <v/>
      </c>
      <c r="T63" s="28" t="n"/>
      <c r="U63" s="28">
        <f>COUNT(#REF!)</f>
        <v/>
      </c>
      <c r="V63" s="28">
        <f>COUNT(#REF!)</f>
        <v/>
      </c>
      <c r="W63" s="28" t="n"/>
      <c r="X63" s="28" t="n"/>
      <c r="Y63" s="28" t="n"/>
      <c r="Z63" s="28" t="n"/>
      <c r="AA63" s="28" t="n"/>
      <c r="AB63" s="10" t="n"/>
    </row>
    <row r="64" ht="21.6" customHeight="1" thickBot="1">
      <c r="L64" s="10" t="n"/>
      <c r="M64" s="29" t="inlineStr">
        <is>
          <t>TOTAL GERAL / BOLETIM ENSACADORES:</t>
        </is>
      </c>
      <c r="N64" s="30" t="n"/>
      <c r="O64" s="30" t="n"/>
      <c r="P64" s="30" t="n"/>
      <c r="Q64" s="30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2" t="inlineStr">
        <is>
          <t>TOTAL:</t>
        </is>
      </c>
    </row>
    <row r="65" ht="21.6" customHeight="1" thickBot="1">
      <c r="A65" s="64" t="inlineStr">
        <is>
          <t>MÉDIA DIARIA CHAPAS</t>
        </is>
      </c>
      <c r="B65" s="108" t="n"/>
      <c r="C65" s="37" t="n">
        <v>9</v>
      </c>
      <c r="L65" s="10" t="n"/>
      <c r="M65" s="33">
        <f>SUM(M41:M62)</f>
        <v/>
      </c>
      <c r="N65" s="33">
        <f>SUM(N41:N62)</f>
        <v/>
      </c>
      <c r="O65" s="33">
        <f>SUM(O41:O53)</f>
        <v/>
      </c>
      <c r="P65" s="33">
        <f>SUM(P41:P62)</f>
        <v/>
      </c>
      <c r="Q65" s="33">
        <f>SUM(Q41:Q61)</f>
        <v/>
      </c>
      <c r="R65" s="33">
        <f>SUM(R41:R62)</f>
        <v/>
      </c>
      <c r="S65" s="33">
        <f>SUM(S41:S62)</f>
        <v/>
      </c>
      <c r="T65" s="33">
        <f>SUM(T41:T62)</f>
        <v/>
      </c>
      <c r="U65" s="33">
        <f>SUM(U41:U62)</f>
        <v/>
      </c>
      <c r="V65" s="33">
        <f>SUM(V41:V62)</f>
        <v/>
      </c>
      <c r="W65" s="33">
        <f>SUM(W41:W62)</f>
        <v/>
      </c>
      <c r="X65" s="33">
        <f>SUM(X41:X62)</f>
        <v/>
      </c>
      <c r="Y65" s="33">
        <f>SUM(Y41:Y62)</f>
        <v/>
      </c>
      <c r="Z65" s="33">
        <f>SUM(Z41:Z62)</f>
        <v/>
      </c>
      <c r="AA65" s="34" t="n"/>
      <c r="AB65" s="35">
        <f>SUM(M65:Z65)</f>
        <v/>
      </c>
    </row>
    <row r="66" ht="20.4" customHeight="1">
      <c r="L66" s="10" t="n"/>
    </row>
    <row r="67" ht="20.4" customHeight="1">
      <c r="L67" s="10" t="n"/>
    </row>
    <row r="68" ht="20.4" customHeight="1"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</row>
    <row r="69" ht="20.4" customHeight="1"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</sheetData>
  <mergeCells count="8">
    <mergeCell ref="A65:B65"/>
    <mergeCell ref="A39:K39"/>
    <mergeCell ref="M39:AB39"/>
    <mergeCell ref="A2:H2"/>
    <mergeCell ref="A3:I3"/>
    <mergeCell ref="M4:AA4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6"/>
  <sheetViews>
    <sheetView topLeftCell="G19" zoomScale="55" zoomScaleNormal="55" workbookViewId="0">
      <selection activeCell="P56" sqref="P56"/>
    </sheetView>
  </sheetViews>
  <sheetFormatPr baseColWidth="8" defaultColWidth="19.21875" defaultRowHeight="14.4"/>
  <cols>
    <col width="17.109375" customWidth="1" min="9" max="9"/>
    <col width="13.5546875" customWidth="1" min="13" max="13"/>
    <col width="16.33203125" customWidth="1" min="14" max="14"/>
    <col width="16.21875" customWidth="1" min="15" max="15"/>
    <col width="15.21875" customWidth="1" min="16" max="16"/>
    <col width="12.6640625" customWidth="1" min="17" max="17"/>
    <col width="15.21875" customWidth="1" min="18" max="19"/>
    <col width="14.109375" customWidth="1" min="20" max="20"/>
    <col width="13" customWidth="1" min="21" max="21"/>
    <col width="16.33203125" customWidth="1" min="22" max="22"/>
    <col width="13.5546875" customWidth="1" min="23" max="23"/>
    <col width="7.21875" customWidth="1" min="26" max="26"/>
    <col width="17.6640625" customWidth="1" min="27" max="27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45809</v>
      </c>
      <c r="N5" s="11" t="n">
        <v>45810</v>
      </c>
      <c r="O5" s="11" t="n">
        <v>45811</v>
      </c>
      <c r="P5" s="11" t="n">
        <v>45812</v>
      </c>
      <c r="Q5" s="11" t="n">
        <v>45813</v>
      </c>
      <c r="R5" s="11" t="n">
        <v>45814</v>
      </c>
      <c r="S5" s="11" t="n">
        <v>45815</v>
      </c>
      <c r="T5" s="11" t="n">
        <v>45817</v>
      </c>
      <c r="U5" s="11" t="n">
        <v>45818</v>
      </c>
      <c r="V5" s="11" t="n">
        <v>45819</v>
      </c>
      <c r="W5" s="11" t="n">
        <v>45820</v>
      </c>
      <c r="X5" s="11" t="n">
        <v>45821</v>
      </c>
      <c r="Y5" s="11" t="n">
        <v>45822</v>
      </c>
      <c r="Z5" s="11" t="n"/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22" t="inlineStr">
        <is>
          <t>CHAPA_06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0</v>
      </c>
      <c r="N6" s="17" t="n">
        <v>99.19</v>
      </c>
      <c r="O6" s="17" t="n">
        <v>0</v>
      </c>
      <c r="P6" s="17" t="n">
        <v>99.19</v>
      </c>
      <c r="Q6" s="17" t="n">
        <v>124.54</v>
      </c>
      <c r="R6" s="17" t="n">
        <v>99.19</v>
      </c>
      <c r="S6" s="17" t="n">
        <v>45.08</v>
      </c>
      <c r="T6" s="17" t="n">
        <v>99.19</v>
      </c>
      <c r="U6" s="17" t="n">
        <v>0</v>
      </c>
      <c r="V6" s="17" t="n">
        <v>99.19</v>
      </c>
      <c r="W6" s="17" t="n">
        <v>99.19</v>
      </c>
      <c r="X6" s="17" t="n">
        <v>99.20999999999999</v>
      </c>
      <c r="Y6" s="17" t="n">
        <v>45.08</v>
      </c>
      <c r="Z6" s="17" t="n"/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24" t="inlineStr">
        <is>
          <t>CHAPA_15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0</v>
      </c>
      <c r="N7" s="17" t="n">
        <v>99.19</v>
      </c>
      <c r="O7" s="17" t="n">
        <v>99.2</v>
      </c>
      <c r="P7" s="17" t="n">
        <v>99.19</v>
      </c>
      <c r="Q7" s="17" t="n">
        <v>99.19</v>
      </c>
      <c r="R7" s="17" t="n">
        <v>45.07</v>
      </c>
      <c r="S7" s="17" t="n">
        <v>45.08</v>
      </c>
      <c r="T7" s="17" t="n">
        <v>99.19</v>
      </c>
      <c r="U7" s="17" t="n">
        <v>99.19</v>
      </c>
      <c r="V7" s="17" t="n">
        <v>99.19</v>
      </c>
      <c r="W7" s="17" t="n">
        <v>99.19</v>
      </c>
      <c r="X7" s="17" t="n">
        <v>45.08</v>
      </c>
      <c r="Y7" s="17" t="n">
        <v>45.08</v>
      </c>
      <c r="Z7" s="17" t="n"/>
      <c r="AA7" s="18">
        <f>SUM(M7:Z7)</f>
        <v/>
      </c>
      <c r="AB7" s="13" t="n"/>
    </row>
    <row r="8" ht="21" customHeight="1">
      <c r="A8" s="14" t="inlineStr">
        <is>
          <t>FRANCA</t>
        </is>
      </c>
      <c r="B8" s="15" t="inlineStr">
        <is>
          <t>CHAPA_20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0</v>
      </c>
      <c r="N8" s="17" t="n">
        <v>99.19</v>
      </c>
      <c r="O8" s="17" t="n">
        <v>99.2</v>
      </c>
      <c r="P8" s="17" t="n">
        <v>99.19</v>
      </c>
      <c r="Q8" s="17" t="n">
        <v>99.19</v>
      </c>
      <c r="R8" s="17" t="n">
        <v>99.19</v>
      </c>
      <c r="S8" s="17" t="n">
        <v>45.09</v>
      </c>
      <c r="T8" s="17" t="n">
        <v>0</v>
      </c>
      <c r="U8" s="17" t="n">
        <v>99.19</v>
      </c>
      <c r="V8" s="17" t="n">
        <v>99.19</v>
      </c>
      <c r="W8" s="17" t="n">
        <v>99.19</v>
      </c>
      <c r="X8" s="17" t="n">
        <v>0</v>
      </c>
      <c r="Y8" s="17" t="n">
        <v>0</v>
      </c>
      <c r="Z8" s="17" t="n"/>
      <c r="AA8" s="18">
        <f>SUM(M8:Z8)</f>
        <v/>
      </c>
      <c r="AB8" s="13" t="n"/>
    </row>
    <row r="9" ht="21" customHeight="1">
      <c r="A9" s="14" t="inlineStr">
        <is>
          <t>FRANCA</t>
        </is>
      </c>
      <c r="B9" s="22" t="inlineStr">
        <is>
          <t>CHAPA_36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0</v>
      </c>
      <c r="N9" s="17" t="n">
        <v>99.19</v>
      </c>
      <c r="O9" s="17" t="n">
        <v>99.19</v>
      </c>
      <c r="P9" s="17" t="n">
        <v>99.19</v>
      </c>
      <c r="Q9" s="17" t="n">
        <v>45.11</v>
      </c>
      <c r="R9" s="17" t="n">
        <v>99.19</v>
      </c>
      <c r="S9" s="17" t="n">
        <v>0</v>
      </c>
      <c r="T9" s="17" t="n">
        <v>99.19</v>
      </c>
      <c r="U9" s="17" t="n">
        <v>0</v>
      </c>
      <c r="V9" s="17" t="n">
        <v>0</v>
      </c>
      <c r="W9" s="17" t="n">
        <v>22.54</v>
      </c>
      <c r="X9" s="17" t="n">
        <v>0</v>
      </c>
      <c r="Y9" s="17" t="n">
        <v>0</v>
      </c>
      <c r="Z9" s="17" t="n"/>
      <c r="AA9" s="18">
        <f>SUM(M9:Z9)</f>
        <v/>
      </c>
      <c r="AB9" s="13" t="n"/>
    </row>
    <row r="10" ht="21" customHeight="1">
      <c r="A10" s="14" t="inlineStr">
        <is>
          <t>FRANCA</t>
        </is>
      </c>
      <c r="B10" s="15" t="inlineStr">
        <is>
          <t>CHAPA_38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180.34</v>
      </c>
      <c r="N10" s="17" t="n">
        <v>99.19</v>
      </c>
      <c r="O10" s="17" t="n">
        <v>99.19</v>
      </c>
      <c r="P10" s="17" t="n">
        <v>133</v>
      </c>
      <c r="Q10" s="17" t="n">
        <v>133</v>
      </c>
      <c r="R10" s="17" t="n">
        <v>116.1</v>
      </c>
      <c r="S10" s="17" t="n">
        <v>45.09</v>
      </c>
      <c r="T10" s="17" t="n">
        <v>107.67</v>
      </c>
      <c r="U10" s="17" t="n">
        <v>107.63</v>
      </c>
      <c r="V10" s="17" t="n">
        <v>124.55</v>
      </c>
      <c r="W10" s="17" t="n">
        <v>99.19</v>
      </c>
      <c r="X10" s="17" t="n">
        <v>99.19</v>
      </c>
      <c r="Y10" s="17" t="n">
        <v>146.51</v>
      </c>
      <c r="Z10" s="17" t="n"/>
      <c r="AA10" s="18">
        <f>SUM(M10:Z10)</f>
        <v/>
      </c>
      <c r="AB10" s="13" t="n"/>
    </row>
    <row r="11" ht="21" customHeight="1">
      <c r="A11" s="14" t="inlineStr">
        <is>
          <t>FRANCA</t>
        </is>
      </c>
      <c r="B11" s="15" t="inlineStr">
        <is>
          <t>CHAPA_40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0</v>
      </c>
      <c r="N11" s="17" t="n">
        <v>99.19</v>
      </c>
      <c r="O11" s="17" t="n">
        <v>99.19</v>
      </c>
      <c r="P11" s="17" t="n">
        <v>99.19</v>
      </c>
      <c r="Q11" s="17" t="n">
        <v>99.19</v>
      </c>
      <c r="R11" s="17" t="n">
        <v>99.20999999999999</v>
      </c>
      <c r="S11" s="17" t="n">
        <v>45.09</v>
      </c>
      <c r="T11" s="17" t="n">
        <v>99.2</v>
      </c>
      <c r="U11" s="17" t="n">
        <v>99.19</v>
      </c>
      <c r="V11" s="17" t="n">
        <v>107.64</v>
      </c>
      <c r="W11" s="17" t="n">
        <v>99.19</v>
      </c>
      <c r="X11" s="17" t="n">
        <v>0</v>
      </c>
      <c r="Y11" s="17" t="n">
        <v>45.08</v>
      </c>
      <c r="Z11" s="17" t="n"/>
      <c r="AA11" s="18">
        <f>SUM(M11:Z11)</f>
        <v/>
      </c>
      <c r="AB11" s="13" t="n"/>
    </row>
    <row r="12" ht="21" customHeight="1">
      <c r="A12" s="14" t="inlineStr">
        <is>
          <t>FRANCA</t>
        </is>
      </c>
      <c r="B12" s="15" t="inlineStr">
        <is>
          <t>CHAPA_41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>
        <v>0</v>
      </c>
      <c r="N12" s="17" t="n">
        <v>99.2</v>
      </c>
      <c r="O12" s="17" t="n">
        <v>99.19</v>
      </c>
      <c r="P12" s="17" t="n">
        <v>99.2</v>
      </c>
      <c r="Q12" s="17" t="n">
        <v>99.19</v>
      </c>
      <c r="R12" s="17" t="n">
        <v>99.2</v>
      </c>
      <c r="S12" s="17" t="n">
        <v>45.09</v>
      </c>
      <c r="T12" s="17" t="n">
        <v>45.07</v>
      </c>
      <c r="U12" s="17" t="n">
        <v>99.2</v>
      </c>
      <c r="V12" s="17" t="n">
        <v>99.2</v>
      </c>
      <c r="W12" s="17" t="n">
        <v>99.19</v>
      </c>
      <c r="X12" s="17" t="n">
        <v>99.19</v>
      </c>
      <c r="Y12" s="17" t="n">
        <v>146.56</v>
      </c>
      <c r="Z12" s="17" t="n"/>
      <c r="AA12" s="18">
        <f>SUM(M12:Z12)</f>
        <v/>
      </c>
      <c r="AB12" s="13" t="n"/>
    </row>
    <row r="13" ht="21" customHeight="1">
      <c r="A13" s="14" t="inlineStr">
        <is>
          <t>FRANCA</t>
        </is>
      </c>
      <c r="B13" s="15" t="inlineStr">
        <is>
          <t>CHAPA_43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>
        <v>0</v>
      </c>
      <c r="N13" s="17" t="n">
        <v>99.2</v>
      </c>
      <c r="O13" s="17" t="n">
        <v>99.19</v>
      </c>
      <c r="P13" s="17" t="n">
        <v>99.2</v>
      </c>
      <c r="Q13" s="17" t="n">
        <v>0</v>
      </c>
      <c r="R13" s="17" t="n">
        <v>0</v>
      </c>
      <c r="S13" s="17" t="n">
        <v>0</v>
      </c>
      <c r="T13" s="17" t="n">
        <v>99.19</v>
      </c>
      <c r="U13" s="17" t="n">
        <v>99.2</v>
      </c>
      <c r="V13" s="17" t="n">
        <v>99.2</v>
      </c>
      <c r="W13" s="17" t="n">
        <v>99.19</v>
      </c>
      <c r="X13" s="17" t="n">
        <v>99.19</v>
      </c>
      <c r="Y13" s="17" t="n">
        <v>45.08</v>
      </c>
      <c r="Z13" s="17" t="n"/>
      <c r="AA13" s="18">
        <f>SUM(M13:Z13)</f>
        <v/>
      </c>
      <c r="AB13" s="13" t="n"/>
    </row>
    <row r="14" ht="21" customHeight="1">
      <c r="A14" s="14" t="inlineStr">
        <is>
          <t>FRANCA</t>
        </is>
      </c>
      <c r="B14" s="15" t="inlineStr">
        <is>
          <t>CHAPA_33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45.08</v>
      </c>
      <c r="Z14" s="17" t="n"/>
      <c r="AA14" s="18">
        <f>SUM(M14:Z14)</f>
        <v/>
      </c>
      <c r="AB14" s="13" t="n"/>
    </row>
    <row r="15" ht="21" customHeight="1">
      <c r="A15" s="14" t="inlineStr">
        <is>
          <t>FRANCA</t>
        </is>
      </c>
      <c r="B15" s="22" t="n"/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15" t="n"/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15" t="n"/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n"/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n"/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.6" customHeight="1" thickBot="1"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.6" customHeight="1" thickBot="1">
      <c r="A28" s="36" t="inlineStr">
        <is>
          <t>MÉDIA DIÁRIA CHAPAS</t>
        </is>
      </c>
      <c r="B28" s="36" t="n"/>
      <c r="C28" s="37" t="n">
        <v>8</v>
      </c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>
        <f>SUM(Z6:Z25)</f>
        <v/>
      </c>
      <c r="AA28" s="34" t="n"/>
      <c r="AB28" s="35">
        <f>SUM(M28:Z28)</f>
        <v/>
      </c>
    </row>
    <row r="29" ht="20.4" customHeight="1">
      <c r="J29" s="10" t="n"/>
      <c r="K29" s="10" t="n"/>
      <c r="L29" s="10" t="n"/>
    </row>
    <row r="30" ht="20.4" customHeight="1"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.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 ht="21" customHeight="1">
      <c r="A32" s="38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83" t="n"/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  <c r="X33" s="83" t="n"/>
      <c r="Y33" s="83" t="n"/>
      <c r="Z33" s="83" t="n"/>
      <c r="AA33" s="83" t="n"/>
      <c r="AB33" s="83" t="n"/>
      <c r="AC33" s="83" t="n"/>
      <c r="AD33" s="83" t="n"/>
      <c r="AE33" s="83" t="n"/>
    </row>
    <row r="34"/>
    <row r="35" ht="15" customHeight="1" thickBot="1"/>
    <row r="36" ht="21" customHeight="1" thickBot="1">
      <c r="A36" s="111" t="inlineStr">
        <is>
          <t>2ª QUINZENA</t>
        </is>
      </c>
      <c r="B36" s="107" t="n"/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8" t="n"/>
      <c r="L36" s="4" t="n"/>
      <c r="M36" s="112" t="inlineStr">
        <is>
          <t xml:space="preserve">TOTAL </t>
        </is>
      </c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10" t="n"/>
      <c r="AC36" s="2" t="n"/>
    </row>
    <row r="37" ht="21.6" customHeight="1" thickBot="1">
      <c r="A37" s="40" t="inlineStr">
        <is>
          <t>LOCAL</t>
        </is>
      </c>
      <c r="B37" s="40" t="inlineStr">
        <is>
          <t>NOME</t>
        </is>
      </c>
      <c r="C37" s="41" t="inlineStr">
        <is>
          <t>DIÁRIA</t>
        </is>
      </c>
      <c r="D37" s="41" t="inlineStr">
        <is>
          <t>DSR</t>
        </is>
      </c>
      <c r="E37" s="41" t="inlineStr">
        <is>
          <t>TOTAL</t>
        </is>
      </c>
      <c r="F37" s="41" t="inlineStr">
        <is>
          <t>FÉRIAS</t>
        </is>
      </c>
      <c r="G37" s="41" t="inlineStr">
        <is>
          <t>13º SALÁRIO</t>
        </is>
      </c>
      <c r="H37" s="41" t="inlineStr">
        <is>
          <t>FGTS</t>
        </is>
      </c>
      <c r="I37" s="42" t="inlineStr">
        <is>
          <t>T. 1º Q.</t>
        </is>
      </c>
      <c r="J37" s="42" t="inlineStr">
        <is>
          <t>INSS 1º</t>
        </is>
      </c>
      <c r="K37" s="43" t="inlineStr">
        <is>
          <t>INSS</t>
        </is>
      </c>
      <c r="L37" s="9" t="n"/>
      <c r="M37" s="44" t="n">
        <v>45824</v>
      </c>
      <c r="N37" s="44" t="n">
        <v>45825</v>
      </c>
      <c r="O37" s="44" t="n">
        <v>45826</v>
      </c>
      <c r="P37" s="44" t="n">
        <v>45828</v>
      </c>
      <c r="Q37" s="44" t="n">
        <v>45829</v>
      </c>
      <c r="R37" s="44" t="n">
        <v>45831</v>
      </c>
      <c r="S37" s="44" t="n">
        <v>45832</v>
      </c>
      <c r="T37" s="44" t="n">
        <v>45833</v>
      </c>
      <c r="U37" s="44" t="n">
        <v>45834</v>
      </c>
      <c r="V37" s="44" t="n">
        <v>45835</v>
      </c>
      <c r="W37" s="44" t="n">
        <v>45836</v>
      </c>
      <c r="X37" s="44" t="n">
        <v>45838</v>
      </c>
      <c r="Y37" s="44" t="n"/>
      <c r="Z37" s="45" t="n"/>
      <c r="AA37" s="8" t="inlineStr">
        <is>
          <t>TOTAL</t>
        </is>
      </c>
      <c r="AB37" s="13" t="n"/>
      <c r="AC37" s="13" t="n"/>
    </row>
    <row r="38" ht="21" customHeight="1">
      <c r="A38" s="46" t="inlineStr">
        <is>
          <t>FRANCA</t>
        </is>
      </c>
      <c r="B38" s="22" t="inlineStr">
        <is>
          <t>CHAPA_06</t>
        </is>
      </c>
      <c r="C38" s="85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47">
        <f>IF(I9=0,0,VLOOKUP(B38,$B$6:$I$25,8,0))</f>
        <v/>
      </c>
      <c r="K38" s="48">
        <f>IF(E38+I38&lt;=$K$62,(E38+I38)*J74-J38,IF(E38+I38&lt;=$K$63,(E38+I38)*J75-J38,IF(E38+I38&lt;=$F$62,(E38+I38)*L76-J38,513.0125)))</f>
        <v/>
      </c>
      <c r="L38" s="9" t="n"/>
      <c r="M38" s="17" t="n">
        <v>45.1</v>
      </c>
      <c r="N38" s="17" t="n">
        <v>0</v>
      </c>
      <c r="O38" s="17" t="n">
        <v>99.19</v>
      </c>
      <c r="P38" s="17" t="n">
        <v>0</v>
      </c>
      <c r="Q38" s="17" t="n">
        <v>0</v>
      </c>
      <c r="R38" s="17" t="n">
        <v>0</v>
      </c>
      <c r="S38" s="17" t="n">
        <v>99.19</v>
      </c>
      <c r="T38" s="17" t="n">
        <v>99.19</v>
      </c>
      <c r="U38" s="17" t="n">
        <v>99.19</v>
      </c>
      <c r="V38" s="17" t="n">
        <v>99.19</v>
      </c>
      <c r="W38" s="17" t="n">
        <v>45.08</v>
      </c>
      <c r="X38" s="17" t="n">
        <v>99.19</v>
      </c>
      <c r="Y38" s="17" t="n"/>
      <c r="Z38" s="17" t="n"/>
      <c r="AA38" s="49">
        <f>SUM(M38:Z38)</f>
        <v/>
      </c>
      <c r="AB38" s="13" t="n"/>
      <c r="AC38" s="13" t="n"/>
    </row>
    <row r="39" ht="21" customHeight="1">
      <c r="A39" s="46" t="inlineStr">
        <is>
          <t>FRANCA</t>
        </is>
      </c>
      <c r="B39" s="24" t="inlineStr">
        <is>
          <t>CHAPA_15</t>
        </is>
      </c>
      <c r="C39" s="85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47">
        <f>IF(#REF!=0,0,VLOOKUP(B39,$B$6:$I$25,8,0))</f>
        <v/>
      </c>
      <c r="K39" s="48">
        <f>IF(E39+I39&lt;=$K$62,(E39+I39)*J75-J39,IF(E39+I39&lt;=$K$63,(E39+I39)*J76-J39,IF(E39+I39&lt;=$F$62,(E39+I39)*L77-J39,513.0125)))</f>
        <v/>
      </c>
      <c r="L39" s="9" t="n"/>
      <c r="M39" s="17" t="n">
        <v>99.19</v>
      </c>
      <c r="N39" s="17" t="n">
        <v>99.19</v>
      </c>
      <c r="O39" s="17" t="n">
        <v>99.19</v>
      </c>
      <c r="P39" s="17" t="n">
        <v>99.19</v>
      </c>
      <c r="Q39" s="17" t="n">
        <v>45.08</v>
      </c>
      <c r="R39" s="17" t="n">
        <v>99.19</v>
      </c>
      <c r="S39" s="17" t="n">
        <v>99.19</v>
      </c>
      <c r="T39" s="17" t="n">
        <v>99.19</v>
      </c>
      <c r="U39" s="17" t="n">
        <v>99.19</v>
      </c>
      <c r="V39" s="17" t="n">
        <v>99.19</v>
      </c>
      <c r="W39" s="17" t="n">
        <v>45.08</v>
      </c>
      <c r="X39" s="17" t="n">
        <v>99.19</v>
      </c>
      <c r="Y39" s="17" t="n"/>
      <c r="Z39" s="17" t="n"/>
      <c r="AA39" s="49">
        <f>SUM(M39:Z39)</f>
        <v/>
      </c>
      <c r="AB39" s="13" t="n"/>
      <c r="AC39" s="13" t="n"/>
    </row>
    <row r="40" ht="21" customHeight="1">
      <c r="A40" s="46" t="inlineStr">
        <is>
          <t>FRANCA</t>
        </is>
      </c>
      <c r="B40" s="15" t="inlineStr">
        <is>
          <t>CHAPA_20</t>
        </is>
      </c>
      <c r="C40" s="85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IF(E40&lt;=$F$69,E40*$G$69,IF(E40&lt;=$F$70,E40*$G$70,IF(E40&lt;=$F$71,E40*$G$71,513.0125)))</f>
        <v/>
      </c>
      <c r="J40" s="47">
        <f>IF(I10=0,0,VLOOKUP(B40,$B$6:$I$25,8,0))</f>
        <v/>
      </c>
      <c r="K40" s="48">
        <f>IF(E40+I40&lt;=$K$62,(E40+I40)*J76-J40,IF(E40+I40&lt;=$K$63,(E40+I40)*J77-J40,IF(E40+I40&lt;=$F$62,(E40+I40)*L78-J40,513.0125)))</f>
        <v/>
      </c>
      <c r="L40" s="9" t="n"/>
      <c r="M40" s="17" t="n">
        <v>0</v>
      </c>
      <c r="N40" s="17" t="n">
        <v>99.19</v>
      </c>
      <c r="O40" s="17" t="n">
        <v>99.19</v>
      </c>
      <c r="P40" s="17" t="n">
        <v>99.19</v>
      </c>
      <c r="Q40" s="17" t="n">
        <v>0</v>
      </c>
      <c r="R40" s="17" t="n">
        <v>0</v>
      </c>
      <c r="S40" s="17" t="n">
        <v>99.19</v>
      </c>
      <c r="T40" s="17" t="n">
        <v>0</v>
      </c>
      <c r="U40" s="17" t="n">
        <v>99.19</v>
      </c>
      <c r="V40" s="17" t="n">
        <v>0</v>
      </c>
      <c r="W40" s="17" t="n">
        <v>0</v>
      </c>
      <c r="X40" s="17" t="n">
        <v>0</v>
      </c>
      <c r="Y40" s="17" t="n"/>
      <c r="Z40" s="17" t="n"/>
      <c r="AA40" s="49">
        <f>SUM(M40:Z40)</f>
        <v/>
      </c>
      <c r="AB40" s="13" t="n"/>
      <c r="AC40" s="13" t="n"/>
    </row>
    <row r="41" ht="21" customHeight="1">
      <c r="A41" s="46" t="inlineStr">
        <is>
          <t>FRANCA</t>
        </is>
      </c>
      <c r="B41" s="22" t="inlineStr">
        <is>
          <t>CHAPA_36</t>
        </is>
      </c>
      <c r="C41" s="85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47">
        <f>IF(I11=0,0,VLOOKUP(B41,$B$6:$I$25,8,0))</f>
        <v/>
      </c>
      <c r="K41" s="48">
        <f>IF(E41+I41&lt;=$K$62,(E41+I41)*J77-J41,IF(E41+I41&lt;=$K$63,(E41+I41)*J78-J41,IF(E41+I41&lt;=$F$62,(E41+I41)*L79-J41,513.0125)))</f>
        <v/>
      </c>
      <c r="L41" s="9" t="n"/>
      <c r="M41" s="84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/>
      <c r="Z41" s="17" t="n"/>
      <c r="AA41" s="49">
        <f>SUM(M41:Z41)</f>
        <v/>
      </c>
      <c r="AB41" s="13" t="n"/>
      <c r="AC41" s="13" t="n"/>
    </row>
    <row r="42" ht="21" customHeight="1">
      <c r="A42" s="46" t="inlineStr">
        <is>
          <t>FRANCA</t>
        </is>
      </c>
      <c r="B42" s="15" t="inlineStr">
        <is>
          <t>CHAPA_38</t>
        </is>
      </c>
      <c r="C42" s="85">
        <f>AA42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IF(E42&lt;=$F$69,E42*$G$69,IF(E42&lt;=$F$70,E42*$G$70,IF(E42&lt;=$F$71,E42*$G$71,513.0125)))</f>
        <v/>
      </c>
      <c r="J42" s="47">
        <f>IF(#REF!=0,0,VLOOKUP(B42,$B$6:$I$25,8,0))</f>
        <v/>
      </c>
      <c r="K42" s="48">
        <f>IF(E42+I42&lt;=$K$62,(E42+I42)*J78-J42,IF(E42+I42&lt;=$K$63,(E42+I42)*J79-J42,IF(E42+I42&lt;=$F$62,(E42+I42)*L80-J42,513.0125)))</f>
        <v/>
      </c>
      <c r="L42" s="9" t="n"/>
      <c r="M42" s="17" t="n">
        <v>99.19</v>
      </c>
      <c r="N42" s="17" t="n">
        <v>99.19</v>
      </c>
      <c r="O42" s="17" t="n">
        <v>99.19</v>
      </c>
      <c r="P42" s="17" t="n">
        <v>158.36</v>
      </c>
      <c r="Q42" s="17" t="n">
        <v>0</v>
      </c>
      <c r="R42" s="17" t="n">
        <v>99.19</v>
      </c>
      <c r="S42" s="17" t="n">
        <v>99.19</v>
      </c>
      <c r="T42" s="17" t="n">
        <v>99.19</v>
      </c>
      <c r="U42" s="17" t="n">
        <v>158.38</v>
      </c>
      <c r="V42" s="17" t="n">
        <v>141.46</v>
      </c>
      <c r="W42" s="17" t="n">
        <v>0</v>
      </c>
      <c r="X42" s="17" t="n">
        <v>99.19</v>
      </c>
      <c r="Y42" s="17" t="n"/>
      <c r="Z42" s="17" t="n"/>
      <c r="AA42" s="49">
        <f>SUM(M42:Z42)</f>
        <v/>
      </c>
      <c r="AB42" s="13" t="n"/>
      <c r="AC42" s="13" t="n"/>
    </row>
    <row r="43" ht="21" customHeight="1">
      <c r="A43" s="46" t="inlineStr">
        <is>
          <t>FRANCA</t>
        </is>
      </c>
      <c r="B43" s="15" t="inlineStr">
        <is>
          <t>CHAPA_40</t>
        </is>
      </c>
      <c r="C43" s="85">
        <f>AA43</f>
        <v/>
      </c>
      <c r="D43" s="10">
        <f>C43*0.1818</f>
        <v/>
      </c>
      <c r="E43" s="10">
        <f>SUM(C43:D43)</f>
        <v/>
      </c>
      <c r="F43" s="10">
        <f>E43*0.1111</f>
        <v/>
      </c>
      <c r="G43" s="10">
        <f>E43*0.083</f>
        <v/>
      </c>
      <c r="H43" s="10">
        <f>SUM(E43:G43)*0.08</f>
        <v/>
      </c>
      <c r="I43" s="10">
        <f>IF(E43&lt;=$F$69,E43*$G$69,IF(E43&lt;=$F$70,E43*$G$70,IF(E43&lt;=$F$71,E43*$G$71,513.0125)))</f>
        <v/>
      </c>
      <c r="J43" s="47">
        <f>IF(I12=0,0,VLOOKUP(B43,$B$6:$I$25,8,0))</f>
        <v/>
      </c>
      <c r="K43" s="48">
        <f>IF(E43+I43&lt;=$K$62,(E43+I43)*J79-J43,IF(E43+I43&lt;=$K$63,(E43+I43)*J80-J43,IF(E43+I43&lt;=$F$62,(E43+I43)*L81-J43,513.0125)))</f>
        <v/>
      </c>
      <c r="L43" s="9" t="n"/>
      <c r="M43" s="17" t="n">
        <v>99.19</v>
      </c>
      <c r="N43" s="17" t="n">
        <v>99.19</v>
      </c>
      <c r="O43" s="17" t="n">
        <v>99.19</v>
      </c>
      <c r="P43" s="17" t="n">
        <v>99.2</v>
      </c>
      <c r="Q43" s="17" t="n">
        <v>0</v>
      </c>
      <c r="R43" s="17" t="n">
        <v>99.19</v>
      </c>
      <c r="S43" s="17" t="n">
        <v>45.1</v>
      </c>
      <c r="T43" s="17" t="n">
        <v>45.1</v>
      </c>
      <c r="U43" s="17" t="n">
        <v>99.19</v>
      </c>
      <c r="V43" s="17" t="n">
        <v>99.19</v>
      </c>
      <c r="W43" s="17" t="n">
        <v>45.09</v>
      </c>
      <c r="X43" s="17" t="n">
        <v>99.19</v>
      </c>
      <c r="Y43" s="17" t="n"/>
      <c r="Z43" s="17" t="n"/>
      <c r="AA43" s="49">
        <f>SUM(M43:Z43)</f>
        <v/>
      </c>
      <c r="AB43" s="13" t="n"/>
      <c r="AC43" s="13" t="n"/>
    </row>
    <row r="44" ht="21" customHeight="1">
      <c r="A44" s="46" t="inlineStr">
        <is>
          <t>FRANCA</t>
        </is>
      </c>
      <c r="B44" s="15" t="inlineStr">
        <is>
          <t>CHAPA_41</t>
        </is>
      </c>
      <c r="C44" s="85">
        <f>AA44</f>
        <v/>
      </c>
      <c r="D44" s="10">
        <f>C44*0.1818</f>
        <v/>
      </c>
      <c r="E44" s="10">
        <f>SUM(C44:D44)</f>
        <v/>
      </c>
      <c r="F44" s="10">
        <f>E44*0.1111</f>
        <v/>
      </c>
      <c r="G44" s="10">
        <f>E44*0.083</f>
        <v/>
      </c>
      <c r="H44" s="10">
        <f>SUM(E44:G44)*0.08</f>
        <v/>
      </c>
      <c r="I44" s="10">
        <f>IF(E44&lt;=$F$69,E44*$G$69,IF(E44&lt;=$F$70,E44*$G$70,IF(E44&lt;=$F$71,E44*$G$71,513.0125)))</f>
        <v/>
      </c>
      <c r="J44" s="47">
        <f>IF(I13=0,0,VLOOKUP(B44,$B$6:$I$25,8,0))</f>
        <v/>
      </c>
      <c r="K44" s="48">
        <f>IF(E44+I44&lt;=$K$62,(E44+I44)*J80-J44,IF(E44+I44&lt;=$K$63,(E44+I44)*J81-J44,IF(E44+I44&lt;=$F$62,(E44+I44)*L82-J44,513.0125)))</f>
        <v/>
      </c>
      <c r="L44" s="9" t="n"/>
      <c r="M44" s="17" t="n">
        <v>99.19</v>
      </c>
      <c r="N44" s="17" t="n">
        <v>99.2</v>
      </c>
      <c r="O44" s="17" t="n">
        <v>99.2</v>
      </c>
      <c r="P44" s="17" t="n">
        <v>99.2</v>
      </c>
      <c r="Q44" s="17" t="n">
        <v>45.09</v>
      </c>
      <c r="R44" s="17" t="n">
        <v>0</v>
      </c>
      <c r="S44" s="17" t="n">
        <v>0</v>
      </c>
      <c r="T44" s="17" t="n">
        <v>0</v>
      </c>
      <c r="U44" s="17" t="n">
        <v>99.19</v>
      </c>
      <c r="V44" s="17" t="n">
        <v>99.19</v>
      </c>
      <c r="W44" s="17" t="n">
        <v>45.09</v>
      </c>
      <c r="X44" s="17" t="n">
        <v>99.19</v>
      </c>
      <c r="Y44" s="17" t="n"/>
      <c r="Z44" s="17" t="n"/>
      <c r="AA44" s="49">
        <f>SUM(M44:Z44)</f>
        <v/>
      </c>
      <c r="AB44" s="13" t="n"/>
      <c r="AC44" s="13" t="n"/>
    </row>
    <row r="45" ht="21" customHeight="1">
      <c r="A45" s="46" t="inlineStr">
        <is>
          <t>FRANCA</t>
        </is>
      </c>
      <c r="B45" s="15" t="inlineStr">
        <is>
          <t>CHAPA_43</t>
        </is>
      </c>
      <c r="C45" s="86">
        <f>AA45</f>
        <v/>
      </c>
      <c r="D45" s="50">
        <f>C45*0.1818</f>
        <v/>
      </c>
      <c r="E45" s="50">
        <f>SUM(C45:D45)</f>
        <v/>
      </c>
      <c r="F45" s="50">
        <f>E45*0.1111</f>
        <v/>
      </c>
      <c r="G45" s="50">
        <f>E45*0.083</f>
        <v/>
      </c>
      <c r="H45" s="50">
        <f>SUM(E45:G45)*0.08</f>
        <v/>
      </c>
      <c r="I45" s="47">
        <f>AA14</f>
        <v/>
      </c>
      <c r="J45" s="47">
        <f>IF(I14=0,0,VLOOKUP(B45,$B$6:$I$25,8,0))</f>
        <v/>
      </c>
      <c r="K45" s="48">
        <f>IF(E45+I45&lt;=$K$62,(E45+I45)*J81-J45,IF(E45+I45&lt;=$K$63,(E45+I45)*J82-J45,IF(E45+I45&lt;=$F$62,(E45+I45)*L83-J45,513.0125)))</f>
        <v/>
      </c>
      <c r="L45" s="9" t="n"/>
      <c r="M45" s="17" t="n">
        <v>99.19</v>
      </c>
      <c r="N45" s="17" t="n">
        <v>99.2</v>
      </c>
      <c r="O45" s="17" t="n">
        <v>99.2</v>
      </c>
      <c r="P45" s="17" t="n">
        <v>99.19</v>
      </c>
      <c r="Q45" s="17" t="n">
        <v>0</v>
      </c>
      <c r="R45" s="17" t="n">
        <v>99.2</v>
      </c>
      <c r="S45" s="17" t="n">
        <v>99.19</v>
      </c>
      <c r="T45" s="17" t="n">
        <v>99.19</v>
      </c>
      <c r="U45" s="17" t="n">
        <v>99.19</v>
      </c>
      <c r="V45" s="17" t="n">
        <v>99.20999999999999</v>
      </c>
      <c r="W45" s="17" t="n">
        <v>45.09</v>
      </c>
      <c r="X45" s="17" t="n">
        <v>99.20999999999999</v>
      </c>
      <c r="Y45" s="17" t="n"/>
      <c r="Z45" s="17" t="n"/>
      <c r="AA45" s="49">
        <f>SUM(M45:Z45)</f>
        <v/>
      </c>
      <c r="AB45" s="13" t="n"/>
      <c r="AC45" s="13" t="n"/>
    </row>
    <row r="46" ht="21" customHeight="1">
      <c r="A46" s="46" t="inlineStr">
        <is>
          <t>FRANCA</t>
        </is>
      </c>
      <c r="B46" s="15" t="n"/>
      <c r="C46" s="86">
        <f>AA46</f>
        <v/>
      </c>
      <c r="D46" s="50">
        <f>C46*0.1818</f>
        <v/>
      </c>
      <c r="E46" s="50">
        <f>SUM(C46:D46)</f>
        <v/>
      </c>
      <c r="F46" s="50">
        <f>E46*0.1111</f>
        <v/>
      </c>
      <c r="G46" s="50">
        <f>E46*0.083</f>
        <v/>
      </c>
      <c r="H46" s="50">
        <f>SUM(E46:G46)*0.08</f>
        <v/>
      </c>
      <c r="I46" s="47">
        <f>AA15</f>
        <v/>
      </c>
      <c r="J46" s="47">
        <f>IF(I15=0,0,VLOOKUP(#REF!,$B$6:$I$25,8,0))</f>
        <v/>
      </c>
      <c r="K46" s="48">
        <f>IF(E46+I46&lt;=$K$62,(E46+I46)*J82-J46,IF(E46+I46&lt;=$K$63,(E46+I46)*J83-J46,IF(E46+I46&lt;=$F$62,(E46+I46)*L84-J46,513.0125)))</f>
        <v/>
      </c>
      <c r="L46" s="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49">
        <f>SUM(M46:Z46)</f>
        <v/>
      </c>
      <c r="AB46" s="13" t="n"/>
      <c r="AC46" s="13" t="n"/>
    </row>
    <row r="47" ht="21" customHeight="1">
      <c r="A47" s="46" t="inlineStr">
        <is>
          <t>FRANCA</t>
        </is>
      </c>
      <c r="B47" s="15" t="n"/>
      <c r="C47" s="86">
        <f>AA47</f>
        <v/>
      </c>
      <c r="D47" s="50">
        <f>C47*0.1818</f>
        <v/>
      </c>
      <c r="E47" s="50">
        <f>SUM(C47:D47)</f>
        <v/>
      </c>
      <c r="F47" s="50">
        <f>E47*0.1111</f>
        <v/>
      </c>
      <c r="G47" s="50">
        <f>E47*0.083</f>
        <v/>
      </c>
      <c r="H47" s="50">
        <f>SUM(E47:G47)*0.08</f>
        <v/>
      </c>
      <c r="I47" s="47">
        <f>AA16</f>
        <v/>
      </c>
      <c r="J47" s="47">
        <f>IF(I16=0,0,VLOOKUP(B46,$B$6:$I$25,8,0))</f>
        <v/>
      </c>
      <c r="K47" s="48">
        <f>IF(E47+I47&lt;=$K$62,(E47+I47)*J83-J47,IF(E47+I47&lt;=$K$63,(E47+I47)*J84-J47,IF(E47+I47&lt;=$F$62,(E47+I47)*L85-J47,513.0125)))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49">
        <f>SUM(M47:Z47)</f>
        <v/>
      </c>
      <c r="AB47" s="13" t="n"/>
      <c r="AC47" s="13" t="n"/>
    </row>
    <row r="48" ht="21" customHeight="1">
      <c r="A48" s="46" t="inlineStr">
        <is>
          <t>FRANCA</t>
        </is>
      </c>
      <c r="B48" s="15" t="n"/>
      <c r="C48" s="86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IF(I17=0,0,VLOOKUP(B47,$B$6:$I$25,8,0))</f>
        <v/>
      </c>
      <c r="K48" s="48">
        <f>IF(E48+I48&lt;=$K$62,(E48+I48)*J84-J48,IF(E48+I48&lt;=$K$63,(E48+I48)*J85-J48,IF(E48+I48&lt;=$F$62,(E48+I48)*L86-J48,513.0125)))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49">
        <f>SUM(M48:Z48)</f>
        <v/>
      </c>
      <c r="AB48" s="13" t="n"/>
      <c r="AC48" s="13" t="n"/>
    </row>
    <row r="49" ht="21" customHeight="1">
      <c r="A49" s="46" t="inlineStr">
        <is>
          <t>FRANCA</t>
        </is>
      </c>
      <c r="B49" s="15" t="n"/>
      <c r="C49" s="86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IF(I18=0,0,VLOOKUP(B48,$B$6:$I$25,8,0))</f>
        <v/>
      </c>
      <c r="K49" s="48">
        <f>IF(E49+I49&lt;=$K$62,(E49+I49)*J85-J49,IF(E49+I49&lt;=$K$63,(E49+I49)*J86-J49,IF(E49+I49&lt;=$F$62,(E49+I49)*L87-J49,513.0125)))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49">
        <f>SUM(M49:Z49)</f>
        <v/>
      </c>
      <c r="AB49" s="13" t="n"/>
      <c r="AC49" s="13" t="n"/>
    </row>
    <row r="50" ht="21" customHeight="1">
      <c r="A50" s="46" t="inlineStr">
        <is>
          <t>FRANCA</t>
        </is>
      </c>
      <c r="B50" s="15" t="n"/>
      <c r="C50" s="86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IF(I19=0,0,VLOOKUP(B50,$B$6:$I$25,8,0))</f>
        <v/>
      </c>
      <c r="K50" s="48">
        <f>IF(E50+I50&lt;=$K$62,(E50+I50)*J86-J50,IF(E50+I50&lt;=$K$63,(E50+I50)*J87-J50,IF(E50+I50&lt;=$F$62,(E50+I50)*L88-J50,513.0125)))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49">
        <f>SUM(M50:Z50)</f>
        <v/>
      </c>
      <c r="AB50" s="13" t="n"/>
      <c r="AC50" s="13" t="n"/>
    </row>
    <row r="51" ht="21" customHeight="1">
      <c r="A51" s="46" t="inlineStr">
        <is>
          <t>FRANCA</t>
        </is>
      </c>
      <c r="B51" s="15" t="n"/>
      <c r="C51" s="86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IF(I20=0,0,VLOOKUP(B51,$B$6:$I$25,8,0))</f>
        <v/>
      </c>
      <c r="K51" s="48">
        <f>IF(E51+I51&lt;=$K$62,(E51+I51)*J87-J51,IF(E51+I51&lt;=$K$63,(E51+I51)*J88-J51,IF(E51+I51&lt;=$F$62,(E51+I51)*L89-J51,513.0125)))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49">
        <f>SUM(M51:Z51)</f>
        <v/>
      </c>
      <c r="AB51" s="13" t="n"/>
      <c r="AC51" s="13" t="n"/>
    </row>
    <row r="52" ht="21" customHeight="1">
      <c r="A52" s="46" t="inlineStr">
        <is>
          <t>FRANCA</t>
        </is>
      </c>
      <c r="B52" s="15" t="n"/>
      <c r="C52" s="86" t="n">
        <v>0</v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IF(I21=0,0,VLOOKUP(B52,$B$6:$I$25,8,0))</f>
        <v/>
      </c>
      <c r="K52" s="48">
        <f>IF(E52+I52&lt;=$K$62,(E52+I52)*J88-J52,IF(E52+I52&lt;=$K$63,(E52+I52)*J89-J52,IF(E52+I52&lt;=$F$62,(E52+I52)*L90-J52,513.0125)))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49">
        <f>SUM(M52:Z52)</f>
        <v/>
      </c>
      <c r="AB52" s="13" t="n"/>
      <c r="AC52" s="13" t="n"/>
    </row>
    <row r="53" ht="21" customHeight="1">
      <c r="A53" s="46" t="inlineStr">
        <is>
          <t>FRANCA</t>
        </is>
      </c>
      <c r="B53" s="15" t="n"/>
      <c r="C53" s="86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IF(E53+I53&lt;=$K$62,(E53+I53)*J89-J53,IF(E53+I53&lt;=$K$63,(E53+I53)*J90-J53,IF(E53+I53&lt;=$F$62,(E53+I53)*L91-J53,513.0125)))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51" t="n"/>
      <c r="AA53" s="49">
        <f>SUM(M53:Z53)</f>
        <v/>
      </c>
      <c r="AB53" s="13" t="n"/>
      <c r="AC53" s="13" t="n"/>
    </row>
    <row r="54" ht="21" customHeight="1">
      <c r="A54" s="46" t="inlineStr">
        <is>
          <t>FRANCA</t>
        </is>
      </c>
      <c r="B54" s="15" t="n"/>
      <c r="C54" s="86">
        <f>AA54</f>
        <v/>
      </c>
      <c r="D54" s="50">
        <f>C54*0.1818</f>
        <v/>
      </c>
      <c r="E54" s="50">
        <f>SUM(C54:D54)</f>
        <v/>
      </c>
      <c r="F54" s="50">
        <f>E54*0.1111</f>
        <v/>
      </c>
      <c r="G54" s="50">
        <f>E54*0.083</f>
        <v/>
      </c>
      <c r="H54" s="50">
        <f>SUM(E54:G54)*0.08</f>
        <v/>
      </c>
      <c r="I54" s="47">
        <f>AA23</f>
        <v/>
      </c>
      <c r="J54" s="47">
        <f>IF(I23=0,0,VLOOKUP(B54,$B$6:$I$25,8,0))</f>
        <v/>
      </c>
      <c r="K54" s="48">
        <f>IF(E54+I54&lt;=$K$62,(E54+I54)*J90-J54,IF(E54+I54&lt;=$K$63,(E54+I54)*J91-J54,IF(E54+I54&lt;=$F$62,(E54+I54)*L92-J54,513.0125)))</f>
        <v/>
      </c>
      <c r="L54" s="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51" t="n"/>
      <c r="AA54" s="49">
        <f>SUM(M54:Z54)</f>
        <v/>
      </c>
      <c r="AB54" s="13" t="n"/>
      <c r="AC54" s="13" t="n"/>
    </row>
    <row r="55" ht="21" customHeight="1">
      <c r="A55" s="46" t="inlineStr">
        <is>
          <t>FRANCA</t>
        </is>
      </c>
      <c r="B55" s="15" t="n"/>
      <c r="C55" s="86">
        <f>AA55</f>
        <v/>
      </c>
      <c r="D55" s="50">
        <f>C55*0.1818</f>
        <v/>
      </c>
      <c r="E55" s="50">
        <f>SUM(C55:D55)</f>
        <v/>
      </c>
      <c r="F55" s="50">
        <f>E55*0.1111</f>
        <v/>
      </c>
      <c r="G55" s="50">
        <f>E55*0.083</f>
        <v/>
      </c>
      <c r="H55" s="50">
        <f>SUM(E55:G55)*0.08</f>
        <v/>
      </c>
      <c r="I55" s="47">
        <f>AA24</f>
        <v/>
      </c>
      <c r="J55" s="47">
        <f>IF(I24=0,0,VLOOKUP(B55,$B$6:$I$25,8,0))</f>
        <v/>
      </c>
      <c r="K55" s="48">
        <f>IF(E55+I55&lt;=$K$62,(E55+I55)*J91-J55,IF(E55+I55&lt;=$K$63,(E55+I55)*J92-J55,IF(E55+I55&lt;=$F$62,(E55+I55)*L93-J55,513.0125)))</f>
        <v/>
      </c>
      <c r="L55" s="9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51" t="n"/>
      <c r="AA55" s="49">
        <f>SUM(M55:Z55)</f>
        <v/>
      </c>
      <c r="AB55" s="13" t="n"/>
      <c r="AC55" s="13" t="n"/>
    </row>
    <row r="56" ht="21" customHeight="1">
      <c r="A56" s="46" t="inlineStr">
        <is>
          <t>FRANCA</t>
        </is>
      </c>
      <c r="B56" s="15" t="n"/>
      <c r="C56" s="86">
        <f>AA56</f>
        <v/>
      </c>
      <c r="D56" s="50">
        <f>C56*0.1818</f>
        <v/>
      </c>
      <c r="E56" s="50">
        <f>SUM(C56:D56)</f>
        <v/>
      </c>
      <c r="F56" s="50">
        <f>E56*0.1111</f>
        <v/>
      </c>
      <c r="G56" s="50">
        <f>E56*0.083</f>
        <v/>
      </c>
      <c r="H56" s="50">
        <f>SUM(E56:G56)*0.08</f>
        <v/>
      </c>
      <c r="I56" s="47">
        <f>AA25</f>
        <v/>
      </c>
      <c r="J56" s="47">
        <f>IF(I25=0,0,VLOOKUP(B56,$B$6:$I$25,8,0))</f>
        <v/>
      </c>
      <c r="K56" s="48">
        <f>IF(E56+I56&lt;=$K$62,(E56+I56)*J92-J56,IF(E56+I56&lt;=$K$63,(E56+I56)*J93-J56,IF(E56+I56&lt;=$F$62,(E56+I56)*L94-J56,513.0125)))</f>
        <v/>
      </c>
      <c r="L56" s="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51" t="n"/>
      <c r="Z56" s="51" t="n"/>
      <c r="AA56" s="49">
        <f>SUM(M56:Z56)</f>
        <v/>
      </c>
      <c r="AB56" s="13" t="n"/>
      <c r="AC56" s="13" t="n"/>
    </row>
    <row r="57" ht="21" customHeight="1">
      <c r="A57" s="46" t="inlineStr">
        <is>
          <t>FRANCA</t>
        </is>
      </c>
      <c r="B57" s="15" t="n"/>
      <c r="C57" s="86">
        <f>AA57</f>
        <v/>
      </c>
      <c r="D57" s="50">
        <f>C57*0.1818</f>
        <v/>
      </c>
      <c r="E57" s="50">
        <f>SUM(C57:D57)</f>
        <v/>
      </c>
      <c r="F57" s="50">
        <f>E57*0.1111</f>
        <v/>
      </c>
      <c r="G57" s="50">
        <f>E57*0.083</f>
        <v/>
      </c>
      <c r="H57" s="50">
        <f>SUM(E57:G57)*0.08</f>
        <v/>
      </c>
      <c r="I57" s="47">
        <f>AA26</f>
        <v/>
      </c>
      <c r="J57" s="47">
        <f>IF(I26=0,0,VLOOKUP(B57,$B$6:$I$25,8,0))</f>
        <v/>
      </c>
      <c r="K57" s="48">
        <f>IF(E57+I57&lt;=$K$62,(E57+I57)*J93-J57,IF(E57+I57&lt;=$K$63,(E57+I57)*J94-J57,IF(E57+I57&lt;=$F$62,(E57+I57)*L95-J57,513.0125)))</f>
        <v/>
      </c>
      <c r="L57" s="9" t="n"/>
      <c r="M57" s="17" t="n"/>
      <c r="N57" s="52" t="n"/>
      <c r="O57" s="52" t="n"/>
      <c r="P57" s="17" t="n"/>
      <c r="Q57" s="52" t="n"/>
      <c r="R57" s="17" t="n"/>
      <c r="S57" s="52" t="n"/>
      <c r="T57" s="17" t="n"/>
      <c r="U57" s="17" t="n"/>
      <c r="V57" s="52" t="n"/>
      <c r="W57" s="51" t="n"/>
      <c r="X57" s="51" t="n"/>
      <c r="Y57" s="51" t="n"/>
      <c r="Z57" s="51" t="n"/>
      <c r="AA57" s="49">
        <f>SUM(M57:Z57)</f>
        <v/>
      </c>
      <c r="AB57" s="13" t="n"/>
      <c r="AC57" s="13" t="n"/>
    </row>
    <row r="58" ht="21" customHeight="1">
      <c r="A58" s="46" t="inlineStr">
        <is>
          <t>FRANCA</t>
        </is>
      </c>
      <c r="B58" s="15" t="n"/>
      <c r="C58" s="86">
        <f>AA58</f>
        <v/>
      </c>
      <c r="D58" s="50">
        <f>C58*0.1818</f>
        <v/>
      </c>
      <c r="E58" s="50">
        <f>SUM(C58:D58)</f>
        <v/>
      </c>
      <c r="F58" s="50">
        <f>E58*0.1111</f>
        <v/>
      </c>
      <c r="G58" s="50">
        <f>E58*0.083</f>
        <v/>
      </c>
      <c r="H58" s="50">
        <f>SUM(E58:G58)*0.08</f>
        <v/>
      </c>
      <c r="I58" s="47">
        <f>AA27</f>
        <v/>
      </c>
      <c r="J58" s="47">
        <f>IF(I27=0,0,VLOOKUP(B58,$B$6:$I$25,8,0))</f>
        <v/>
      </c>
      <c r="K58" s="48">
        <f>IF(E58+I58&lt;=$K$62,(E58+I58)*J94-J58,IF(E58+I58&lt;=$K$63,(E58+I58)*J95-J58,IF(E58+I58&lt;=$F$62,(E58+I58)*L96-J58,513.0125)))</f>
        <v/>
      </c>
      <c r="L58" s="9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1" t="n"/>
      <c r="X58" s="51" t="n"/>
      <c r="Y58" s="51" t="n"/>
      <c r="Z58" s="51" t="n"/>
      <c r="AA58" s="49">
        <f>SUM(M58:Z58)</f>
        <v/>
      </c>
      <c r="AB58" s="13" t="n"/>
      <c r="AC58" s="13" t="n"/>
    </row>
    <row r="59" ht="21.6" customHeight="1" thickBot="1">
      <c r="A59" s="46" t="inlineStr">
        <is>
          <t>FRANCA</t>
        </is>
      </c>
      <c r="B59" s="53" t="n"/>
      <c r="C59" s="87">
        <f>AA59</f>
        <v/>
      </c>
      <c r="D59" s="54">
        <f>C59*0.1818</f>
        <v/>
      </c>
      <c r="E59" s="54">
        <f>SUM(C59:D59)</f>
        <v/>
      </c>
      <c r="F59" s="54">
        <f>E59*0.1111</f>
        <v/>
      </c>
      <c r="G59" s="54">
        <f>E59*0.083</f>
        <v/>
      </c>
      <c r="H59" s="54">
        <f>SUM(E59:G59)*0.08</f>
        <v/>
      </c>
      <c r="I59" s="55">
        <f>AA28</f>
        <v/>
      </c>
      <c r="J59" s="55">
        <f>IF(I28=0,0,VLOOKUP(B59,$B$6:$I$25,8,0))</f>
        <v/>
      </c>
      <c r="K59" s="56">
        <f>IF(E59+I59&lt;=$K$62,(E59+I59)*J95-J59,IF(E59+I59&lt;=$K$63,(E59+I59)*J96-J59,IF(E59+I59&lt;=$F$62,(E59+I59)*L97-J59,513.0125)))</f>
        <v/>
      </c>
      <c r="L59" s="9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49">
        <f>SUM(M59:Z59)</f>
        <v/>
      </c>
      <c r="AB59" s="13" t="n"/>
      <c r="AC59" s="13" t="n"/>
    </row>
    <row r="60" ht="21" customHeight="1" thickBo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28" t="n"/>
      <c r="N60" s="28">
        <f>COUNT(#REF!)</f>
        <v/>
      </c>
      <c r="O60" s="28">
        <f>COUNT(#REF!)</f>
        <v/>
      </c>
      <c r="P60" s="28" t="n">
        <v>29</v>
      </c>
      <c r="Q60" s="28">
        <f>COUNT(#REF!)</f>
        <v/>
      </c>
      <c r="R60" s="28">
        <f>COUNT(#REF!)</f>
        <v/>
      </c>
      <c r="S60" s="28">
        <f>COUNT(#REF!)</f>
        <v/>
      </c>
      <c r="T60" s="28" t="n"/>
      <c r="U60" s="28">
        <f>COUNT(#REF!)</f>
        <v/>
      </c>
      <c r="V60" s="28">
        <f>COUNT(#REF!)</f>
        <v/>
      </c>
      <c r="W60" s="28" t="n"/>
      <c r="X60" s="28" t="n"/>
      <c r="Y60" s="28" t="n"/>
      <c r="Z60" s="28" t="n"/>
      <c r="AA60" s="28" t="n"/>
      <c r="AB60" s="10" t="n"/>
      <c r="AC60" s="13" t="n"/>
    </row>
    <row r="61" ht="21.6" customHeight="1" thickBot="1">
      <c r="L61" s="10" t="n"/>
      <c r="M61" s="29" t="inlineStr">
        <is>
          <t>TOTAL GERAL / BOLETIM ENSACADORES:</t>
        </is>
      </c>
      <c r="N61" s="30" t="n"/>
      <c r="O61" s="30" t="n"/>
      <c r="P61" s="30" t="n"/>
      <c r="Q61" s="30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2" t="inlineStr">
        <is>
          <t>TOTAL:</t>
        </is>
      </c>
      <c r="AC61" s="13" t="n"/>
    </row>
    <row r="62" ht="21.6" customHeight="1" thickBot="1">
      <c r="A62" s="64" t="inlineStr">
        <is>
          <t>MÉDIA DIARIA CHAPAS</t>
        </is>
      </c>
      <c r="B62" s="108" t="n"/>
      <c r="C62" s="37" t="n">
        <v>8</v>
      </c>
      <c r="L62" s="10" t="n"/>
      <c r="M62" s="33">
        <f>SUM(M38:M59)</f>
        <v/>
      </c>
      <c r="N62" s="33">
        <f>SUM(N38:N59)</f>
        <v/>
      </c>
      <c r="O62" s="33">
        <f>SUM(O38:O50)</f>
        <v/>
      </c>
      <c r="P62" s="33">
        <f>SUM(P38:P59)</f>
        <v/>
      </c>
      <c r="Q62" s="33">
        <f>SUM(Q38:Q58)</f>
        <v/>
      </c>
      <c r="R62" s="33">
        <f>SUM(R38:R59)</f>
        <v/>
      </c>
      <c r="S62" s="33">
        <f>SUM(S38:S59)</f>
        <v/>
      </c>
      <c r="T62" s="33">
        <f>SUM(T38:T59)</f>
        <v/>
      </c>
      <c r="U62" s="33">
        <f>SUM(U38:U59)</f>
        <v/>
      </c>
      <c r="V62" s="33">
        <f>SUM(V38:V59)</f>
        <v/>
      </c>
      <c r="W62" s="33">
        <f>SUM(W38:W59)</f>
        <v/>
      </c>
      <c r="X62" s="33">
        <f>SUM(X38:X59)</f>
        <v/>
      </c>
      <c r="Y62" s="33">
        <f>SUM(Y38:Y59)</f>
        <v/>
      </c>
      <c r="Z62" s="33">
        <f>SUM(Z38:Z59)</f>
        <v/>
      </c>
      <c r="AA62" s="34" t="n"/>
      <c r="AB62" s="35">
        <f>SUM(M62:Z62)</f>
        <v/>
      </c>
      <c r="AC62" s="13" t="n"/>
    </row>
    <row r="63" ht="20.4" customHeight="1">
      <c r="L63" s="10" t="n"/>
      <c r="AC63" s="13" t="n"/>
    </row>
    <row r="64" ht="20.4" customHeight="1">
      <c r="L64" s="10" t="n"/>
      <c r="AC64" s="13" t="n"/>
    </row>
    <row r="65" ht="20.4" customHeight="1"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13" t="n"/>
    </row>
    <row r="66" ht="20.4" customHeight="1"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3" t="n"/>
    </row>
  </sheetData>
  <mergeCells count="8">
    <mergeCell ref="A62:B62"/>
    <mergeCell ref="A2:H2"/>
    <mergeCell ref="M36:AB36"/>
    <mergeCell ref="A3:I3"/>
    <mergeCell ref="M4:AA4"/>
    <mergeCell ref="A1:H1"/>
    <mergeCell ref="A4:I4"/>
    <mergeCell ref="A36:K36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8"/>
  <sheetViews>
    <sheetView topLeftCell="A31" zoomScale="55" zoomScaleNormal="55" workbookViewId="0">
      <selection activeCell="E58" sqref="E58:G58"/>
    </sheetView>
  </sheetViews>
  <sheetFormatPr baseColWidth="8" defaultColWidth="15.33203125" defaultRowHeight="14.4"/>
  <cols>
    <col width="16.5546875" customWidth="1" min="2" max="2"/>
    <col width="18.5546875" customWidth="1" min="6" max="6"/>
  </cols>
  <sheetData>
    <row r="1" ht="21" customHeight="1" thickBot="1">
      <c r="A1" s="109" t="inlineStr">
        <is>
          <t>1ª QUINZENA</t>
        </is>
      </c>
      <c r="B1" s="104" t="n"/>
      <c r="C1" s="104" t="n"/>
      <c r="D1" s="104" t="n"/>
      <c r="E1" s="104" t="n"/>
      <c r="F1" s="104" t="n"/>
      <c r="G1" s="104" t="n"/>
      <c r="H1" s="104" t="n"/>
      <c r="I1" s="110" t="n"/>
      <c r="J1" s="4" t="n"/>
      <c r="K1" s="4" t="n"/>
      <c r="L1" s="4" t="n"/>
      <c r="M1" s="111" t="inlineStr">
        <is>
          <t>total</t>
        </is>
      </c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8" t="n"/>
    </row>
    <row r="2" ht="21" customHeight="1">
      <c r="A2" s="6" t="inlineStr">
        <is>
          <t>LOCAL</t>
        </is>
      </c>
      <c r="B2" s="7" t="inlineStr">
        <is>
          <t>NOME</t>
        </is>
      </c>
      <c r="C2" s="7" t="inlineStr">
        <is>
          <t>DIÁRIA</t>
        </is>
      </c>
      <c r="D2" s="7" t="inlineStr">
        <is>
          <t>DSR</t>
        </is>
      </c>
      <c r="E2" s="7" t="inlineStr">
        <is>
          <t>TOTAL</t>
        </is>
      </c>
      <c r="F2" s="7" t="inlineStr">
        <is>
          <t>FÉRIAS</t>
        </is>
      </c>
      <c r="G2" s="7" t="inlineStr">
        <is>
          <t>13º SALÁRIO</t>
        </is>
      </c>
      <c r="H2" s="7" t="inlineStr">
        <is>
          <t>FGTS</t>
        </is>
      </c>
      <c r="I2" s="8" t="inlineStr">
        <is>
          <t>INSS</t>
        </is>
      </c>
      <c r="J2" s="9" t="n"/>
      <c r="K2" s="10" t="n"/>
      <c r="L2" s="10" t="n"/>
      <c r="M2" s="11" t="n">
        <v>45839</v>
      </c>
      <c r="N2" s="11" t="n">
        <v>45840</v>
      </c>
      <c r="O2" s="11" t="n">
        <v>45841</v>
      </c>
      <c r="P2" s="11" t="n">
        <v>45842</v>
      </c>
      <c r="Q2" s="11" t="n">
        <v>45843</v>
      </c>
      <c r="R2" s="11" t="n">
        <v>45845</v>
      </c>
      <c r="S2" s="11" t="n">
        <v>45846</v>
      </c>
      <c r="T2" s="11" t="n">
        <v>45848</v>
      </c>
      <c r="U2" s="11" t="n">
        <v>45849</v>
      </c>
      <c r="V2" s="11" t="n">
        <v>45852</v>
      </c>
      <c r="W2" s="11" t="n">
        <v>45853</v>
      </c>
      <c r="X2" s="11" t="n"/>
      <c r="Y2" s="11" t="n"/>
      <c r="Z2" s="11" t="n"/>
      <c r="AA2" s="12" t="inlineStr">
        <is>
          <t>TOTAL</t>
        </is>
      </c>
    </row>
    <row r="3" ht="21" customHeight="1">
      <c r="A3" s="14" t="inlineStr">
        <is>
          <t>FRANCA</t>
        </is>
      </c>
      <c r="B3" s="22" t="inlineStr">
        <is>
          <t>CHAPA_06</t>
        </is>
      </c>
      <c r="C3" s="10">
        <f>AA3</f>
        <v/>
      </c>
      <c r="D3" s="10">
        <f>C3*0.1818</f>
        <v/>
      </c>
      <c r="E3" s="10">
        <f>SUM(C3:D3)</f>
        <v/>
      </c>
      <c r="F3" s="10">
        <f>E3*0.1111</f>
        <v/>
      </c>
      <c r="G3" s="10">
        <f>E3*0.083</f>
        <v/>
      </c>
      <c r="H3" s="10">
        <f>SUM(E3:G3)*0.08</f>
        <v/>
      </c>
      <c r="I3" s="16">
        <f>IF(E3&lt;=$F$69,E3*$G$69,IF(E3&lt;=$F$70,E3*$G$70,IF(E3&lt;=$F$71,E3*$G$71,513.0125)))</f>
        <v/>
      </c>
      <c r="J3" s="9" t="n"/>
      <c r="K3" s="10" t="n"/>
      <c r="L3" s="10" t="n"/>
      <c r="M3" s="17" t="n">
        <v>111.84</v>
      </c>
      <c r="N3" s="17" t="n">
        <v>99.19</v>
      </c>
      <c r="O3" s="17" t="n">
        <v>0</v>
      </c>
      <c r="P3" s="17" t="n">
        <v>99.19</v>
      </c>
      <c r="Q3" s="17" t="n">
        <v>45.08</v>
      </c>
      <c r="R3" s="17" t="n">
        <v>0</v>
      </c>
      <c r="S3" s="17" t="n">
        <v>99.19</v>
      </c>
      <c r="T3" s="17" t="n">
        <v>0</v>
      </c>
      <c r="U3" s="17" t="n">
        <v>99.19</v>
      </c>
      <c r="V3" s="17" t="n">
        <v>107.64</v>
      </c>
      <c r="W3" s="17" t="n">
        <v>99.19</v>
      </c>
      <c r="X3" s="17" t="n"/>
      <c r="Y3" s="17" t="n"/>
      <c r="Z3" s="17" t="n"/>
      <c r="AA3" s="18">
        <f>SUM(M3:Z3)</f>
        <v/>
      </c>
    </row>
    <row r="4" ht="21" customHeight="1">
      <c r="A4" s="14" t="inlineStr">
        <is>
          <t>FRANCA</t>
        </is>
      </c>
      <c r="B4" s="24" t="inlineStr">
        <is>
          <t>CHAPA_15</t>
        </is>
      </c>
      <c r="C4" s="19">
        <f>AA4</f>
        <v/>
      </c>
      <c r="D4" s="19">
        <f>C4*0.1818</f>
        <v/>
      </c>
      <c r="E4" s="19">
        <f>SUM(C4:D4)</f>
        <v/>
      </c>
      <c r="F4" s="19">
        <f>E4*0.1111</f>
        <v/>
      </c>
      <c r="G4" s="19">
        <f>E4*0.083</f>
        <v/>
      </c>
      <c r="H4" s="19">
        <f>SUM(E4:G4)*0.08</f>
        <v/>
      </c>
      <c r="I4" s="19">
        <f>IF(E4&lt;=$F$69,E4*$G$69,IF(E4&lt;=$F$70,E4*$G$70,IF(E4&lt;=$F$71,E4*$G$71,513.0125)))</f>
        <v/>
      </c>
      <c r="J4" s="9" t="n"/>
      <c r="K4" s="20" t="n"/>
      <c r="L4" s="10" t="n"/>
      <c r="M4" s="17" t="n">
        <v>111.84</v>
      </c>
      <c r="N4" s="17" t="n">
        <v>99.19</v>
      </c>
      <c r="O4" s="17" t="n">
        <v>99.19</v>
      </c>
      <c r="P4" s="17" t="n">
        <v>99.19</v>
      </c>
      <c r="Q4" s="17" t="n">
        <v>45.08</v>
      </c>
      <c r="R4" s="17" t="n">
        <v>0</v>
      </c>
      <c r="S4" s="17" t="n">
        <v>99.19</v>
      </c>
      <c r="T4" s="17" t="n">
        <v>99.19</v>
      </c>
      <c r="U4" s="17" t="n">
        <v>99.19</v>
      </c>
      <c r="V4" s="17" t="n">
        <v>107.64</v>
      </c>
      <c r="W4" s="17" t="n">
        <v>99.19</v>
      </c>
      <c r="X4" s="17" t="n"/>
      <c r="Y4" s="17" t="n"/>
      <c r="Z4" s="17" t="n"/>
      <c r="AA4" s="18">
        <f>SUM(M4:Z4)</f>
        <v/>
      </c>
    </row>
    <row r="5" ht="21" customHeight="1">
      <c r="A5" s="14" t="inlineStr">
        <is>
          <t>FRANCA</t>
        </is>
      </c>
      <c r="B5" s="15" t="inlineStr">
        <is>
          <t>CHAPA_20</t>
        </is>
      </c>
      <c r="C5" s="19">
        <f>AA5</f>
        <v/>
      </c>
      <c r="D5" s="19">
        <f>C5*0.1818</f>
        <v/>
      </c>
      <c r="E5" s="19">
        <f>SUM(C5:D5)</f>
        <v/>
      </c>
      <c r="F5" s="19">
        <f>E5*0.1111</f>
        <v/>
      </c>
      <c r="G5" s="19">
        <f>E5*0.083</f>
        <v/>
      </c>
      <c r="H5" s="19">
        <f>SUM(E5:G5)*0.08</f>
        <v/>
      </c>
      <c r="I5" s="19">
        <f>IF(E5&lt;=$F$69,E5*$G$69,IF(E5&lt;=$F$70,E5*$G$70,IF(E5&lt;=$F$71,E5*$G$71,513.0125)))</f>
        <v/>
      </c>
      <c r="J5" s="9" t="n"/>
      <c r="K5" s="10" t="n"/>
      <c r="L5" s="10" t="n"/>
      <c r="M5" s="17" t="n">
        <v>111.84</v>
      </c>
      <c r="N5" s="17" t="n">
        <v>73.26000000000001</v>
      </c>
      <c r="O5" s="17" t="n">
        <v>99.19</v>
      </c>
      <c r="P5" s="17" t="n">
        <v>99.19</v>
      </c>
      <c r="Q5" s="17" t="n">
        <v>45.08</v>
      </c>
      <c r="R5" s="17" t="n">
        <v>99.19</v>
      </c>
      <c r="S5" s="17" t="n">
        <v>84.53</v>
      </c>
      <c r="T5" s="17" t="n">
        <v>0</v>
      </c>
      <c r="U5" s="17" t="n">
        <v>0</v>
      </c>
      <c r="V5" s="17" t="n">
        <v>107.64</v>
      </c>
      <c r="W5" s="17" t="n">
        <v>99.19</v>
      </c>
      <c r="X5" s="17" t="n"/>
      <c r="Y5" s="17" t="n"/>
      <c r="Z5" s="17" t="n"/>
      <c r="AA5" s="18">
        <f>SUM(M5:Z5)</f>
        <v/>
      </c>
    </row>
    <row r="6" ht="21" customHeight="1">
      <c r="A6" s="14" t="inlineStr">
        <is>
          <t>FRANCA</t>
        </is>
      </c>
      <c r="B6" s="15" t="inlineStr">
        <is>
          <t>CHAPA_38</t>
        </is>
      </c>
      <c r="C6" s="19">
        <f>AA6</f>
        <v/>
      </c>
      <c r="D6" s="19">
        <f>C6*0.1818</f>
        <v/>
      </c>
      <c r="E6" s="19">
        <f>SUM(C6:D6)</f>
        <v/>
      </c>
      <c r="F6" s="19">
        <f>E6*0.1111</f>
        <v/>
      </c>
      <c r="G6" s="19">
        <f>E6*0.083</f>
        <v/>
      </c>
      <c r="H6" s="19">
        <f>SUM(E6:G6)*0.08</f>
        <v/>
      </c>
      <c r="I6" s="19">
        <f>IF(E6&lt;=$F$69,E6*$G$69,IF(E6&lt;=$F$70,E6*$G$70,IF(E6&lt;=$F$71,E6*$G$71,513.0125)))</f>
        <v/>
      </c>
      <c r="J6" s="9" t="n"/>
      <c r="K6" s="10" t="n"/>
      <c r="L6" s="10" t="n"/>
      <c r="M6" s="17" t="n">
        <v>111.84</v>
      </c>
      <c r="N6" s="17" t="n">
        <v>99.19</v>
      </c>
      <c r="O6" s="17" t="n">
        <v>99.19</v>
      </c>
      <c r="P6" s="17" t="n">
        <v>99.19</v>
      </c>
      <c r="Q6" s="17" t="n">
        <v>45.08</v>
      </c>
      <c r="R6" s="17" t="n">
        <v>99.19</v>
      </c>
      <c r="S6" s="17" t="n">
        <v>99.19</v>
      </c>
      <c r="T6" s="17" t="n">
        <v>99.19</v>
      </c>
      <c r="U6" s="17" t="n">
        <v>99.19</v>
      </c>
      <c r="V6" s="17" t="n">
        <v>107.64</v>
      </c>
      <c r="W6" s="17" t="n">
        <v>99.19</v>
      </c>
      <c r="X6" s="17" t="n"/>
      <c r="Y6" s="17" t="n"/>
      <c r="Z6" s="17" t="n"/>
      <c r="AA6" s="18">
        <f>SUM(M6:Z6)</f>
        <v/>
      </c>
    </row>
    <row r="7" ht="21" customHeight="1">
      <c r="A7" s="14" t="inlineStr">
        <is>
          <t>FRANCA</t>
        </is>
      </c>
      <c r="B7" s="15" t="inlineStr">
        <is>
          <t>CHAPA_40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23">
        <f>IF(E7&lt;=$F$69,E7*$G$69,IF(E7&lt;=$F$70,E7*$G$70,IF(E7&lt;=$F$71,E7*$G$71,513.0125)))</f>
        <v/>
      </c>
      <c r="J7" s="9" t="n"/>
      <c r="K7" s="10" t="n"/>
      <c r="L7" s="10" t="n"/>
      <c r="M7" s="17" t="n">
        <v>111.84</v>
      </c>
      <c r="N7" s="17" t="n">
        <v>99.19</v>
      </c>
      <c r="O7" s="17" t="n">
        <v>99.19</v>
      </c>
      <c r="P7" s="17" t="n">
        <v>99.19</v>
      </c>
      <c r="Q7" s="17" t="n">
        <v>0</v>
      </c>
      <c r="R7" s="17" t="n">
        <v>99.19</v>
      </c>
      <c r="S7" s="17" t="n">
        <v>99.19</v>
      </c>
      <c r="T7" s="17" t="n">
        <v>99.19</v>
      </c>
      <c r="U7" s="17" t="n">
        <v>45.07</v>
      </c>
      <c r="V7" s="17" t="n">
        <v>107.64</v>
      </c>
      <c r="W7" s="17" t="n">
        <v>90.17</v>
      </c>
      <c r="X7" s="17" t="n"/>
      <c r="Y7" s="17" t="n"/>
      <c r="Z7" s="17" t="n"/>
      <c r="AA7" s="18">
        <f>SUM(M7:Z7)</f>
        <v/>
      </c>
    </row>
    <row r="8" ht="21" customHeight="1">
      <c r="A8" s="14" t="inlineStr">
        <is>
          <t>FRANCA</t>
        </is>
      </c>
      <c r="B8" s="15" t="inlineStr">
        <is>
          <t>CHAPA_41</t>
        </is>
      </c>
      <c r="C8" s="10">
        <f>AA8</f>
        <v/>
      </c>
      <c r="D8" s="10">
        <f>C8*0.1818</f>
        <v/>
      </c>
      <c r="E8" s="10">
        <f>SUM(C8:D8)</f>
        <v/>
      </c>
      <c r="F8" s="10">
        <f>E8*0.1111</f>
        <v/>
      </c>
      <c r="G8" s="10">
        <f>E8*0.083</f>
        <v/>
      </c>
      <c r="H8" s="10">
        <f>SUM(E8:G8)*0.08</f>
        <v/>
      </c>
      <c r="I8" s="16">
        <f>IF(E8&lt;=$F$69,E8*$G$69,IF(E8&lt;=$F$70,E8*$G$70,IF(E8&lt;=$F$71,E8*$G$71,513.0125)))</f>
        <v/>
      </c>
      <c r="J8" s="9" t="n"/>
      <c r="K8" s="10" t="n"/>
      <c r="L8" s="10" t="n"/>
      <c r="M8" s="17" t="n">
        <v>111.84</v>
      </c>
      <c r="N8" s="17" t="n">
        <v>99.19</v>
      </c>
      <c r="O8" s="17" t="n">
        <v>99.19</v>
      </c>
      <c r="P8" s="17" t="n">
        <v>99.19</v>
      </c>
      <c r="Q8" s="17" t="n">
        <v>45.11</v>
      </c>
      <c r="R8" s="17" t="n">
        <v>99.19</v>
      </c>
      <c r="S8" s="17" t="n">
        <v>99.19</v>
      </c>
      <c r="T8" s="17" t="n">
        <v>99.19</v>
      </c>
      <c r="U8" s="17" t="n">
        <v>99.2</v>
      </c>
      <c r="V8" s="17" t="n">
        <v>107.68</v>
      </c>
      <c r="W8" s="17" t="n">
        <v>99.19</v>
      </c>
      <c r="X8" s="17" t="n"/>
      <c r="Y8" s="17" t="n"/>
      <c r="Z8" s="17" t="n"/>
      <c r="AA8" s="18">
        <f>SUM(M8:Z8)</f>
        <v/>
      </c>
    </row>
    <row r="9" ht="21" customHeight="1">
      <c r="A9" s="14" t="inlineStr">
        <is>
          <t>FRANCA</t>
        </is>
      </c>
      <c r="B9" s="15" t="inlineStr">
        <is>
          <t>CHAPA_43</t>
        </is>
      </c>
      <c r="C9" s="10">
        <f>AA9</f>
        <v/>
      </c>
      <c r="D9" s="10">
        <f>C9*0.1818</f>
        <v/>
      </c>
      <c r="E9" s="10">
        <f>SUM(C9:D9)</f>
        <v/>
      </c>
      <c r="F9" s="10">
        <f>E9*0.1111</f>
        <v/>
      </c>
      <c r="G9" s="10">
        <f>E9*0.083</f>
        <v/>
      </c>
      <c r="H9" s="10">
        <f>SUM(E9:G9)*0.08</f>
        <v/>
      </c>
      <c r="I9" s="16">
        <f>IF(E9&lt;=$F$69,E9*$G$69,IF(E9&lt;=$F$70,E9*$G$70,IF(E9&lt;=$F$71,E9*$G$71,513.0125)))</f>
        <v/>
      </c>
      <c r="J9" s="9" t="n"/>
      <c r="K9" s="10" t="n"/>
      <c r="L9" s="10" t="n"/>
      <c r="M9" s="17" t="n">
        <v>111.86</v>
      </c>
      <c r="N9" s="17" t="n">
        <v>99.19</v>
      </c>
      <c r="O9" s="17" t="n">
        <v>99.20999999999999</v>
      </c>
      <c r="P9" s="17" t="n">
        <v>99.20999999999999</v>
      </c>
      <c r="Q9" s="17" t="n">
        <v>0</v>
      </c>
      <c r="R9" s="17" t="n">
        <v>99.20999999999999</v>
      </c>
      <c r="S9" s="17" t="n">
        <v>99.19</v>
      </c>
      <c r="T9" s="17" t="n">
        <v>99.20999999999999</v>
      </c>
      <c r="U9" s="17" t="n">
        <v>99.20999999999999</v>
      </c>
      <c r="V9" s="17" t="n">
        <v>0</v>
      </c>
      <c r="W9" s="17" t="n">
        <v>99.20999999999999</v>
      </c>
      <c r="X9" s="17" t="n"/>
      <c r="Y9" s="17" t="n"/>
      <c r="Z9" s="17" t="n"/>
      <c r="AA9" s="18">
        <f>SUM(M9:Z9)</f>
        <v/>
      </c>
    </row>
    <row r="10" ht="21" customHeight="1">
      <c r="A10" s="14" t="inlineStr">
        <is>
          <t>FRANCA</t>
        </is>
      </c>
      <c r="B10" s="15" t="n"/>
      <c r="C10" s="10">
        <f>AA10</f>
        <v/>
      </c>
      <c r="D10" s="10">
        <f>C10*0.1818</f>
        <v/>
      </c>
      <c r="E10" s="10">
        <f>SUM(C10:D10)</f>
        <v/>
      </c>
      <c r="F10" s="10">
        <f>E10*0.1111</f>
        <v/>
      </c>
      <c r="G10" s="10">
        <f>E10*0.083</f>
        <v/>
      </c>
      <c r="H10" s="10">
        <f>SUM(E10:G10)*0.08</f>
        <v/>
      </c>
      <c r="I10" s="16">
        <f>IF(E10&lt;=$F$69,E10*$G$69,IF(E10&lt;=$F$70,E10*$G$70,IF(E10&lt;=$F$71,E10*$G$71,513.0125)))</f>
        <v/>
      </c>
      <c r="J10" s="9" t="n"/>
      <c r="K10" s="10" t="n"/>
      <c r="L10" s="10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8">
        <f>SUM(M10:Z10)</f>
        <v/>
      </c>
    </row>
    <row r="11" ht="21" customHeight="1">
      <c r="A11" s="14" t="inlineStr">
        <is>
          <t>FRANCA</t>
        </is>
      </c>
      <c r="B11" s="15" t="n"/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8">
        <f>SUM(M11:Z11)</f>
        <v/>
      </c>
    </row>
    <row r="12" ht="21" customHeight="1">
      <c r="A12" s="14" t="inlineStr">
        <is>
          <t>FRANCA</t>
        </is>
      </c>
      <c r="B12" s="22" t="n"/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8">
        <f>SUM(M12:Z12)</f>
        <v/>
      </c>
    </row>
    <row r="13" ht="21" customHeight="1">
      <c r="A13" s="14" t="inlineStr">
        <is>
          <t>FRANCA</t>
        </is>
      </c>
      <c r="B13" s="15" t="n"/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8">
        <f>SUM(M13:Z13)</f>
        <v/>
      </c>
    </row>
    <row r="14" ht="21" customHeight="1">
      <c r="A14" s="14" t="inlineStr">
        <is>
          <t>FRANCA</t>
        </is>
      </c>
      <c r="B14" s="15" t="n"/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8">
        <f>SUM(M14:Z14)</f>
        <v/>
      </c>
    </row>
    <row r="15" ht="21" customHeight="1">
      <c r="A15" s="14" t="inlineStr">
        <is>
          <t>FRANCA</t>
        </is>
      </c>
      <c r="B15" s="15" t="n"/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8">
        <f>SUM(M15:Z15)</f>
        <v/>
      </c>
    </row>
    <row r="16" ht="21" customHeight="1">
      <c r="A16" s="14" t="inlineStr">
        <is>
          <t>FRANCA</t>
        </is>
      </c>
      <c r="B16" s="22" t="n"/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8">
        <f>SUM(M16:Z16)</f>
        <v/>
      </c>
    </row>
    <row r="17" ht="21" customHeight="1">
      <c r="A17" s="14" t="inlineStr">
        <is>
          <t>FRANCA</t>
        </is>
      </c>
      <c r="B17" s="15" t="n"/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8">
        <f>SUM(M17:Z17)</f>
        <v/>
      </c>
    </row>
    <row r="18" ht="21" customHeight="1">
      <c r="A18" s="14" t="inlineStr">
        <is>
          <t>FRANCA</t>
        </is>
      </c>
      <c r="B18" s="15" t="n"/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8">
        <f>SUM(M18:Z18)</f>
        <v/>
      </c>
    </row>
    <row r="19" ht="21" customHeight="1">
      <c r="A19" s="14" t="inlineStr">
        <is>
          <t>FRANCA</t>
        </is>
      </c>
      <c r="B19" s="15" t="n"/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8">
        <f>SUM(M19:Z19)</f>
        <v/>
      </c>
    </row>
    <row r="20" ht="21" customHeight="1">
      <c r="A20" s="14" t="inlineStr">
        <is>
          <t>FRANCA</t>
        </is>
      </c>
      <c r="B20" s="24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</row>
    <row r="22" ht="21.6" customHeight="1" thickBot="1">
      <c r="A22" s="25" t="n"/>
      <c r="B22" s="15" t="n"/>
      <c r="C22" s="26">
        <f>AA22</f>
        <v/>
      </c>
      <c r="D22" s="26">
        <f>C22*0.1818</f>
        <v/>
      </c>
      <c r="E22" s="26">
        <f>SUM(C22:D22)</f>
        <v/>
      </c>
      <c r="F22" s="26">
        <f>E22*0.1111</f>
        <v/>
      </c>
      <c r="G22" s="26">
        <f>E22*0.083</f>
        <v/>
      </c>
      <c r="H22" s="26">
        <f>SUM(E22:G22)*0.08</f>
        <v/>
      </c>
      <c r="I22" s="27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</row>
    <row r="23" ht="15" customHeight="1" thickBot="1"/>
    <row r="24" ht="21.6" customHeight="1" thickBot="1">
      <c r="A24" s="36" t="inlineStr">
        <is>
          <t>MÉDIA DIÁRIA CHAPAS</t>
        </is>
      </c>
      <c r="B24" s="36" t="n"/>
      <c r="C24" s="37" t="n">
        <v>7</v>
      </c>
      <c r="M24" s="29" t="inlineStr">
        <is>
          <t>TOTAL GERAL / BOLETIM ENSACADORES:</t>
        </is>
      </c>
      <c r="N24" s="30" t="n"/>
      <c r="O24" s="30" t="n"/>
      <c r="P24" s="30" t="n"/>
      <c r="Q24" s="30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2" t="inlineStr">
        <is>
          <t>TOTAL:</t>
        </is>
      </c>
    </row>
    <row r="25" ht="21" customHeight="1">
      <c r="M25" s="33">
        <f>SUM(M3:M22)</f>
        <v/>
      </c>
      <c r="N25" s="33">
        <f>SUM(N3:N22)</f>
        <v/>
      </c>
      <c r="O25" s="33">
        <f>SUM(O3:O22)</f>
        <v/>
      </c>
      <c r="P25" s="33">
        <f>SUM(P3:P22)</f>
        <v/>
      </c>
      <c r="Q25" s="33">
        <f>SUM(Q3:Q22)</f>
        <v/>
      </c>
      <c r="R25" s="33">
        <f>SUM(R3:R22)</f>
        <v/>
      </c>
      <c r="S25" s="33">
        <f>SUM(S3:S22)</f>
        <v/>
      </c>
      <c r="T25" s="33">
        <f>SUM(T3:T22)</f>
        <v/>
      </c>
      <c r="U25" s="33">
        <f>SUM(U3:U22)</f>
        <v/>
      </c>
      <c r="V25" s="33">
        <f>SUM(V3:V22)</f>
        <v/>
      </c>
      <c r="W25" s="33">
        <f>SUM(W3:W22)</f>
        <v/>
      </c>
      <c r="X25" s="33">
        <f>SUM(X3:X22)</f>
        <v/>
      </c>
      <c r="Y25" s="33">
        <f>SUM(Y3:Y22)</f>
        <v/>
      </c>
      <c r="Z25" s="33">
        <f>SUM(Z3:Z22)</f>
        <v/>
      </c>
      <c r="AA25" s="34" t="n"/>
      <c r="AB25" s="35">
        <f>SUM(M25:Z25)</f>
        <v/>
      </c>
    </row>
    <row r="26"/>
    <row r="27"/>
    <row r="28" customFormat="1" s="83"/>
    <row r="29"/>
    <row r="30" ht="15" customHeight="1" thickBot="1"/>
    <row r="31" ht="21" customHeight="1" thickBot="1">
      <c r="A31" s="111" t="inlineStr">
        <is>
          <t>2ª QUINZENA</t>
        </is>
      </c>
      <c r="B31" s="107" t="n"/>
      <c r="C31" s="107" t="n"/>
      <c r="D31" s="107" t="n"/>
      <c r="E31" s="107" t="n"/>
      <c r="F31" s="107" t="n"/>
      <c r="G31" s="107" t="n"/>
      <c r="H31" s="107" t="n"/>
      <c r="I31" s="107" t="n"/>
      <c r="J31" s="107" t="n"/>
      <c r="K31" s="108" t="n"/>
      <c r="L31" s="4" t="n"/>
      <c r="M31" s="112" t="inlineStr">
        <is>
          <t xml:space="preserve">TOTAL </t>
        </is>
      </c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10" t="n"/>
    </row>
    <row r="32" ht="21.6" customHeight="1" thickBot="1">
      <c r="A32" s="40" t="inlineStr">
        <is>
          <t>LOCAL</t>
        </is>
      </c>
      <c r="B32" s="40" t="inlineStr">
        <is>
          <t>NOME</t>
        </is>
      </c>
      <c r="C32" s="41" t="inlineStr">
        <is>
          <t>DIÁRIA</t>
        </is>
      </c>
      <c r="D32" s="41" t="inlineStr">
        <is>
          <t>DSR</t>
        </is>
      </c>
      <c r="E32" s="41" t="inlineStr">
        <is>
          <t>TOTAL</t>
        </is>
      </c>
      <c r="F32" s="41" t="inlineStr">
        <is>
          <t>FÉRIAS</t>
        </is>
      </c>
      <c r="G32" s="41" t="inlineStr">
        <is>
          <t>13º SALÁRIO</t>
        </is>
      </c>
      <c r="H32" s="41" t="inlineStr">
        <is>
          <t>FGTS</t>
        </is>
      </c>
      <c r="I32" s="42" t="inlineStr">
        <is>
          <t>T. 1º Q.</t>
        </is>
      </c>
      <c r="J32" s="42" t="inlineStr">
        <is>
          <t>INSS 1º</t>
        </is>
      </c>
      <c r="K32" s="43" t="inlineStr">
        <is>
          <t>INSS</t>
        </is>
      </c>
      <c r="L32" s="9" t="n"/>
      <c r="M32" s="44" t="n">
        <v>45854</v>
      </c>
      <c r="N32" s="44" t="n">
        <v>45855</v>
      </c>
      <c r="O32" s="44" t="n">
        <v>45856</v>
      </c>
      <c r="P32" s="44" t="n">
        <v>45857</v>
      </c>
      <c r="Q32" s="44" t="n">
        <v>45859</v>
      </c>
      <c r="R32" s="44" t="n">
        <v>45860</v>
      </c>
      <c r="S32" s="44" t="n">
        <v>45861</v>
      </c>
      <c r="T32" s="44" t="n">
        <v>45862</v>
      </c>
      <c r="U32" s="44" t="n">
        <v>45863</v>
      </c>
      <c r="V32" s="44" t="n">
        <v>45864</v>
      </c>
      <c r="W32" s="44" t="n">
        <v>45866</v>
      </c>
      <c r="X32" s="44" t="n">
        <v>45867</v>
      </c>
      <c r="Y32" s="44" t="n">
        <v>45868</v>
      </c>
      <c r="Z32" s="45" t="n">
        <v>45869</v>
      </c>
      <c r="AA32" s="8" t="inlineStr">
        <is>
          <t>TOTAL</t>
        </is>
      </c>
      <c r="AB32" s="13" t="n"/>
    </row>
    <row r="33" ht="21" customHeight="1">
      <c r="A33" s="46" t="inlineStr">
        <is>
          <t>FRANCA</t>
        </is>
      </c>
      <c r="B33" s="22" t="inlineStr">
        <is>
          <t>CHAPA_06</t>
        </is>
      </c>
      <c r="C33" s="85">
        <f>AA33</f>
        <v/>
      </c>
      <c r="D33" s="10">
        <f>C33*0.1818</f>
        <v/>
      </c>
      <c r="E33" s="10">
        <f>SUM(C33:D33)</f>
        <v/>
      </c>
      <c r="F33" s="10">
        <f>E33*0.1111</f>
        <v/>
      </c>
      <c r="G33" s="10">
        <f>E33*0.083</f>
        <v/>
      </c>
      <c r="H33" s="10">
        <f>SUM(E33:G33)*0.08</f>
        <v/>
      </c>
      <c r="I33" s="10">
        <f>IF(E33&lt;=$F$69,E33*$G$69,IF(E33&lt;=$F$70,E33*$G$70,IF(E33&lt;=$F$71,E33*$G$71,513.0125)))</f>
        <v/>
      </c>
      <c r="J33" s="47">
        <f>IF(I4=0,0,VLOOKUP(B33,$B$6:$I$25,8,0))</f>
        <v/>
      </c>
      <c r="K33" s="48">
        <f>IF(E33+I33&lt;=$K$62,(E33+I33)*J69-J33,IF(E33+I33&lt;=$K$63,(E33+I33)*J70-J33,IF(E33+I33&lt;=$K$64,(E33+I33)*L71-J33,513.0125)))</f>
        <v/>
      </c>
      <c r="L33" s="9" t="n"/>
      <c r="M33" s="17" t="n">
        <v>99.19</v>
      </c>
      <c r="N33" s="17" t="n">
        <v>99.19</v>
      </c>
      <c r="O33" s="17" t="n">
        <v>99.19</v>
      </c>
      <c r="P33" s="17" t="n">
        <v>45.08</v>
      </c>
      <c r="Q33" s="17" t="n">
        <v>99.19</v>
      </c>
      <c r="R33" s="17" t="n">
        <v>99.20999999999999</v>
      </c>
      <c r="S33" s="17" t="n">
        <v>0</v>
      </c>
      <c r="T33" s="17" t="n">
        <v>56.35</v>
      </c>
      <c r="U33" s="17" t="n">
        <v>99.19</v>
      </c>
      <c r="V33" s="17" t="n">
        <v>0</v>
      </c>
      <c r="W33" s="17" t="n">
        <v>99.19</v>
      </c>
      <c r="X33" s="17" t="n">
        <v>99.19</v>
      </c>
      <c r="Y33" s="17" t="n">
        <v>99.19</v>
      </c>
      <c r="Z33" s="17" t="n">
        <v>99.19</v>
      </c>
      <c r="AA33" s="49">
        <f>SUM(M33:Z33)</f>
        <v/>
      </c>
      <c r="AB33" s="13" t="n"/>
    </row>
    <row r="34" ht="21" customHeight="1">
      <c r="A34" s="46" t="inlineStr">
        <is>
          <t>FRANCA</t>
        </is>
      </c>
      <c r="B34" s="24" t="inlineStr">
        <is>
          <t>CHAPA_15</t>
        </is>
      </c>
      <c r="C34" s="85">
        <f>AA34</f>
        <v/>
      </c>
      <c r="D34" s="10">
        <f>C34*0.1818</f>
        <v/>
      </c>
      <c r="E34" s="10">
        <f>SUM(C34:D34)</f>
        <v/>
      </c>
      <c r="F34" s="10">
        <f>E34*0.1111</f>
        <v/>
      </c>
      <c r="G34" s="10">
        <f>E34*0.083</f>
        <v/>
      </c>
      <c r="H34" s="10">
        <f>SUM(E34:G34)*0.08</f>
        <v/>
      </c>
      <c r="I34" s="10">
        <f>IF(E34&lt;=$F$69,E34*$G$69,IF(E34&lt;=$F$70,E34*$G$70,IF(E34&lt;=$F$71,E34*$G$71,513.0125)))</f>
        <v/>
      </c>
      <c r="J34" s="47">
        <f>IF(#REF!=0,0,VLOOKUP(B34,$B$6:$I$25,8,0))</f>
        <v/>
      </c>
      <c r="K34" s="48">
        <f>IF(E34+I34&lt;=$K$62,(E34+I34)*J70-J34,IF(E34+I34&lt;=$K$63,(E34+I34)*J71-J34,IF(E34+I34&lt;=$K$64,(E34+I34)*L72-J34,513.0125)))</f>
        <v/>
      </c>
      <c r="L34" s="9" t="n"/>
      <c r="M34" s="17" t="n">
        <v>99.19</v>
      </c>
      <c r="N34" s="17" t="n">
        <v>99.19</v>
      </c>
      <c r="O34" s="17" t="n">
        <v>99.19</v>
      </c>
      <c r="P34" s="17" t="n">
        <v>45.08</v>
      </c>
      <c r="Q34" s="17" t="n">
        <v>99.19</v>
      </c>
      <c r="R34" s="17" t="n">
        <v>99.19</v>
      </c>
      <c r="S34" s="17" t="n">
        <v>99.19</v>
      </c>
      <c r="T34" s="17" t="n">
        <v>99.19</v>
      </c>
      <c r="U34" s="17" t="n">
        <v>99.19</v>
      </c>
      <c r="V34" s="17" t="n">
        <v>45.08</v>
      </c>
      <c r="W34" s="17" t="n">
        <v>99.19</v>
      </c>
      <c r="X34" s="17" t="n">
        <v>99.19</v>
      </c>
      <c r="Y34" s="17" t="n">
        <v>99.19</v>
      </c>
      <c r="Z34" s="17" t="n">
        <v>99.19</v>
      </c>
      <c r="AA34" s="49">
        <f>SUM(M34:Z34)</f>
        <v/>
      </c>
      <c r="AB34" s="13" t="n"/>
    </row>
    <row r="35" ht="21" customHeight="1">
      <c r="A35" s="46" t="inlineStr">
        <is>
          <t>FRANCA</t>
        </is>
      </c>
      <c r="B35" s="15" t="inlineStr">
        <is>
          <t>CHAPA_20</t>
        </is>
      </c>
      <c r="C35" s="85">
        <f>AA35</f>
        <v/>
      </c>
      <c r="D35" s="10">
        <f>C35*0.1818</f>
        <v/>
      </c>
      <c r="E35" s="10">
        <f>SUM(C35:D35)</f>
        <v/>
      </c>
      <c r="F35" s="10">
        <f>E35*0.1111</f>
        <v/>
      </c>
      <c r="G35" s="10">
        <f>E35*0.083</f>
        <v/>
      </c>
      <c r="H35" s="10">
        <f>SUM(E35:G35)*0.08</f>
        <v/>
      </c>
      <c r="I35" s="10">
        <f>IF(E35&lt;=$F$69,E35*$G$69,IF(E35&lt;=$F$70,E35*$G$70,IF(E35&lt;=$F$71,E35*$G$71,513.0125)))</f>
        <v/>
      </c>
      <c r="J35" s="47">
        <f>IF(I5=0,0,VLOOKUP(B35,$B$6:$I$25,8,0))</f>
        <v/>
      </c>
      <c r="K35" s="48">
        <f>IF(E35+I35&lt;=$K$62,(E35+I35)*J71-J35,IF(E35+I35&lt;=$K$63,(E35+I35)*J72-J35,IF(E35+I35&lt;=$K$64,(E35+I35)*L73-J35,513.0125)))</f>
        <v/>
      </c>
      <c r="L35" s="9" t="n"/>
      <c r="M35" s="17" t="n">
        <v>99.19</v>
      </c>
      <c r="N35" s="17" t="n">
        <v>99.19</v>
      </c>
      <c r="O35" s="17" t="n">
        <v>45.07</v>
      </c>
      <c r="P35" s="17" t="n">
        <v>0</v>
      </c>
      <c r="Q35" s="17" t="n">
        <v>99.19</v>
      </c>
      <c r="R35" s="17" t="n">
        <v>99.19</v>
      </c>
      <c r="S35" s="17" t="n">
        <v>99.19</v>
      </c>
      <c r="T35" s="17" t="n">
        <v>99.19</v>
      </c>
      <c r="U35" s="17" t="n">
        <v>0</v>
      </c>
      <c r="V35" s="17" t="n">
        <v>0</v>
      </c>
      <c r="W35" s="17" t="n">
        <v>99.19</v>
      </c>
      <c r="X35" s="17" t="n">
        <v>99.19</v>
      </c>
      <c r="Y35" s="17" t="n">
        <v>45.07</v>
      </c>
      <c r="Z35" s="17" t="n">
        <v>28.17</v>
      </c>
      <c r="AA35" s="49">
        <f>SUM(M35:Z35)</f>
        <v/>
      </c>
      <c r="AB35" s="13" t="n"/>
    </row>
    <row r="36" ht="21" customHeight="1">
      <c r="A36" s="46" t="inlineStr">
        <is>
          <t>FRANCA</t>
        </is>
      </c>
      <c r="B36" s="15" t="inlineStr">
        <is>
          <t>CHAPA_38</t>
        </is>
      </c>
      <c r="C36" s="85">
        <f>AA36</f>
        <v/>
      </c>
      <c r="D36" s="10">
        <f>C36*0.1818</f>
        <v/>
      </c>
      <c r="E36" s="10">
        <f>SUM(C36:D36)</f>
        <v/>
      </c>
      <c r="F36" s="10">
        <f>E36*0.1111</f>
        <v/>
      </c>
      <c r="G36" s="10">
        <f>E36*0.083</f>
        <v/>
      </c>
      <c r="H36" s="10">
        <f>SUM(E36:G36)*0.08</f>
        <v/>
      </c>
      <c r="I36" s="10">
        <f>IF(E36&lt;=$F$69,E36*$G$69,IF(E36&lt;=$F$70,E36*$G$70,IF(E36&lt;=$F$71,E36*$G$71,513.0125)))</f>
        <v/>
      </c>
      <c r="J36" s="47">
        <f>IF(I6=0,0,VLOOKUP(B36,$B$6:$I$25,8,0))</f>
        <v/>
      </c>
      <c r="K36" s="48">
        <f>IF(E36+I36&lt;=$K$62,(E36+I36)*J72-J36,IF(E36+I36&lt;=$K$63,(E36+I36)*J73-J36,IF(E36+I36&lt;=$K$64,(E36+I36)*L74-J36,513.0125)))</f>
        <v/>
      </c>
      <c r="L36" s="9" t="n"/>
      <c r="M36" s="84" t="n">
        <v>99.19</v>
      </c>
      <c r="N36" s="17" t="n">
        <v>99.19</v>
      </c>
      <c r="O36" s="17" t="n">
        <v>99.19</v>
      </c>
      <c r="P36" s="17" t="n">
        <v>45.08</v>
      </c>
      <c r="Q36" s="17" t="n">
        <v>141.45</v>
      </c>
      <c r="R36" s="17" t="n">
        <v>99.19</v>
      </c>
      <c r="S36" s="17" t="n">
        <v>99.19</v>
      </c>
      <c r="T36" s="17" t="n">
        <v>133</v>
      </c>
      <c r="U36" s="17" t="n">
        <v>99.19</v>
      </c>
      <c r="V36" s="17" t="n">
        <v>45.08</v>
      </c>
      <c r="W36" s="17" t="n">
        <v>99.19</v>
      </c>
      <c r="X36" s="17" t="n">
        <v>99.19</v>
      </c>
      <c r="Y36" s="17" t="n">
        <v>99.19</v>
      </c>
      <c r="Z36" s="17" t="n">
        <v>107.64</v>
      </c>
      <c r="AA36" s="49">
        <f>SUM(M36:Z36)</f>
        <v/>
      </c>
      <c r="AB36" s="13" t="n"/>
    </row>
    <row r="37" ht="21" customHeight="1">
      <c r="A37" s="46" t="inlineStr">
        <is>
          <t>FRANCA</t>
        </is>
      </c>
      <c r="B37" s="15" t="inlineStr">
        <is>
          <t>CHAPA_40</t>
        </is>
      </c>
      <c r="C37" s="85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IF(E37&lt;=$F$69,E37*$G$69,IF(E37&lt;=$F$70,E37*$G$70,IF(E37&lt;=$F$71,E37*$G$71,513.0125)))</f>
        <v/>
      </c>
      <c r="J37" s="47">
        <f>IF(#REF!=0,0,VLOOKUP(B37,$B$6:$I$25,8,0))</f>
        <v/>
      </c>
      <c r="K37" s="48">
        <f>IF(E37+I37&lt;=$K$62,(E37+I37)*J73-J37,IF(E37+I37&lt;=$K$63,(E37+I37)*J74-J37,IF(E37+I37&lt;=$K$64,(E37+I37)*L75-J37,513.0125)))</f>
        <v/>
      </c>
      <c r="L37" s="9" t="n"/>
      <c r="M37" s="17" t="n">
        <v>99.19</v>
      </c>
      <c r="N37" s="17" t="n">
        <v>99.19</v>
      </c>
      <c r="O37" s="17" t="n">
        <v>99.19</v>
      </c>
      <c r="P37" s="17" t="n">
        <v>45.08</v>
      </c>
      <c r="Q37" s="17" t="n">
        <v>99.19</v>
      </c>
      <c r="R37" s="17" t="n">
        <v>99.19</v>
      </c>
      <c r="S37" s="17" t="n">
        <v>0</v>
      </c>
      <c r="T37" s="17" t="n">
        <v>99.19</v>
      </c>
      <c r="U37" s="17" t="n">
        <v>99.19</v>
      </c>
      <c r="V37" s="17" t="n">
        <v>0</v>
      </c>
      <c r="W37" s="17" t="n">
        <v>99.19</v>
      </c>
      <c r="X37" s="17" t="n">
        <v>45.08</v>
      </c>
      <c r="Y37" s="17" t="n">
        <v>99.2</v>
      </c>
      <c r="Z37" s="17" t="n">
        <v>99.19</v>
      </c>
      <c r="AA37" s="49">
        <f>SUM(M37:Z37)</f>
        <v/>
      </c>
      <c r="AB37" s="13" t="n"/>
    </row>
    <row r="38" ht="21" customHeight="1">
      <c r="A38" s="46" t="inlineStr">
        <is>
          <t>FRANCA</t>
        </is>
      </c>
      <c r="B38" s="15" t="inlineStr">
        <is>
          <t>CHAPA_41</t>
        </is>
      </c>
      <c r="C38" s="85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47">
        <f>IF(I7=0,0,VLOOKUP(B38,$B$6:$I$25,8,0))</f>
        <v/>
      </c>
      <c r="K38" s="48">
        <f>IF(E38+I38&lt;=$K$62,(E38+I38)*J74-J38,IF(E38+I38&lt;=$K$63,(E38+I38)*J75-J38,IF(E38+I38&lt;=$K$64,(E38+I38)*L76-J38,513.0125)))</f>
        <v/>
      </c>
      <c r="L38" s="9" t="n"/>
      <c r="M38" s="17" t="n">
        <v>99.19</v>
      </c>
      <c r="N38" s="17" t="n">
        <v>99.19</v>
      </c>
      <c r="O38" s="17" t="n">
        <v>99.19</v>
      </c>
      <c r="P38" s="17" t="n">
        <v>45.1</v>
      </c>
      <c r="Q38" s="17" t="n">
        <v>99.20999999999999</v>
      </c>
      <c r="R38" s="17" t="n">
        <v>99.19</v>
      </c>
      <c r="S38" s="17" t="n">
        <v>99.19</v>
      </c>
      <c r="T38" s="17" t="n">
        <v>99.19</v>
      </c>
      <c r="U38" s="17" t="n">
        <v>73.26000000000001</v>
      </c>
      <c r="V38" s="17" t="n">
        <v>45.08</v>
      </c>
      <c r="W38" s="17" t="n">
        <v>99.19</v>
      </c>
      <c r="X38" s="17" t="n">
        <v>99.19</v>
      </c>
      <c r="Y38" s="17" t="n">
        <v>99.20999999999999</v>
      </c>
      <c r="Z38" s="17" t="n">
        <v>99.19</v>
      </c>
      <c r="AA38" s="49">
        <f>SUM(M38:Z38)</f>
        <v/>
      </c>
      <c r="AB38" s="13" t="n"/>
    </row>
    <row r="39" ht="21" customHeight="1">
      <c r="A39" s="46" t="inlineStr">
        <is>
          <t>FRANCA</t>
        </is>
      </c>
      <c r="B39" s="15" t="inlineStr">
        <is>
          <t>CHAPA_43</t>
        </is>
      </c>
      <c r="C39" s="85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47">
        <f>IF(I8=0,0,VLOOKUP(B39,$B$6:$I$25,8,0))</f>
        <v/>
      </c>
      <c r="K39" s="48">
        <f>IF(E39+I39&lt;=$K$62,(E39+I39)*J75-J39,IF(E39+I39&lt;=$K$63,(E39+I39)*J76-J39,IF(E39+I39&lt;=$K$64,(E39+I39)*L77-J39,513.0125)))</f>
        <v/>
      </c>
      <c r="L39" s="9" t="n"/>
      <c r="M39" s="17" t="n">
        <v>99.19</v>
      </c>
      <c r="N39" s="17" t="n">
        <v>99.19</v>
      </c>
      <c r="O39" s="17" t="n">
        <v>99.23</v>
      </c>
      <c r="P39" s="17" t="n">
        <v>45.1</v>
      </c>
      <c r="Q39" s="17" t="n">
        <v>0</v>
      </c>
      <c r="R39" s="17" t="n">
        <v>99.19</v>
      </c>
      <c r="S39" s="17" t="n">
        <v>99.19</v>
      </c>
      <c r="T39" s="17" t="n">
        <v>99.19</v>
      </c>
      <c r="U39" s="17" t="n">
        <v>99.19</v>
      </c>
      <c r="V39" s="17" t="n">
        <v>45.11</v>
      </c>
      <c r="W39" s="17" t="n">
        <v>99.20999999999999</v>
      </c>
      <c r="X39" s="17" t="n">
        <v>99.19</v>
      </c>
      <c r="Y39" s="17" t="n">
        <v>0</v>
      </c>
      <c r="Z39" s="17" t="n">
        <v>0</v>
      </c>
      <c r="AA39" s="49">
        <f>SUM(M39:Z39)</f>
        <v/>
      </c>
      <c r="AB39" s="13" t="n"/>
    </row>
    <row r="40" ht="21" customHeight="1">
      <c r="A40" s="46" t="inlineStr">
        <is>
          <t>FRANCA</t>
        </is>
      </c>
      <c r="B40" s="15" t="inlineStr">
        <is>
          <t>CHAPA_19</t>
        </is>
      </c>
      <c r="C40" s="86">
        <f>AA40</f>
        <v/>
      </c>
      <c r="D40" s="50">
        <f>C40*0.1818</f>
        <v/>
      </c>
      <c r="E40" s="50">
        <f>SUM(C40:D40)</f>
        <v/>
      </c>
      <c r="F40" s="50">
        <f>E40*0.1111</f>
        <v/>
      </c>
      <c r="G40" s="50">
        <f>E40*0.083</f>
        <v/>
      </c>
      <c r="H40" s="50">
        <f>SUM(E40:G40)*0.08</f>
        <v/>
      </c>
      <c r="I40" s="47">
        <f>AA9</f>
        <v/>
      </c>
      <c r="J40" s="47">
        <f>IF(I9=0,0,VLOOKUP(B40,$B$6:$I$25,8,0))</f>
        <v/>
      </c>
      <c r="K40" s="48">
        <f>IF(E40+I40&lt;=$K$62,(E40+I40)*J76-J40,IF(E40+I40&lt;=$K$63,(E40+I40)*J77-J40,IF(E40+I40&lt;=$K$64,(E40+I40)*L78-J40,513.0125)))</f>
        <v/>
      </c>
      <c r="L40" s="9" t="n"/>
      <c r="M40" s="17" t="n">
        <v>99.20999999999999</v>
      </c>
      <c r="N40" s="17" t="n">
        <v>99.20999999999999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49">
        <f>SUM(M40:Z40)</f>
        <v/>
      </c>
      <c r="AB40" s="13" t="n"/>
    </row>
    <row r="41" ht="21" customHeight="1">
      <c r="A41" s="46" t="inlineStr">
        <is>
          <t>FRANCA</t>
        </is>
      </c>
      <c r="B41" s="15" t="inlineStr">
        <is>
          <t>CHAPA_39</t>
        </is>
      </c>
      <c r="C41" s="86">
        <f>AA41</f>
        <v/>
      </c>
      <c r="D41" s="50">
        <f>C41*0.1818</f>
        <v/>
      </c>
      <c r="E41" s="50">
        <f>SUM(C41:D41)</f>
        <v/>
      </c>
      <c r="F41" s="50">
        <f>E41*0.1111</f>
        <v/>
      </c>
      <c r="G41" s="50">
        <f>E41*0.083</f>
        <v/>
      </c>
      <c r="H41" s="50">
        <f>SUM(E41:G41)*0.08</f>
        <v/>
      </c>
      <c r="I41" s="47">
        <f>AA10</f>
        <v/>
      </c>
      <c r="J41" s="47">
        <f>IF(I10=0,0,VLOOKUP(#REF!,$B$6:$I$25,8,0))</f>
        <v/>
      </c>
      <c r="K41" s="48">
        <f>IF(E41+I41&lt;=$K$62,(E41+I41)*J77-J41,IF(E41+I41&lt;=$K$63,(E41+I41)*J78-J41,IF(E41+I41&lt;=$K$64,(E41+I41)*L79-J41,513.0125)))</f>
        <v/>
      </c>
      <c r="L41" s="9" t="n"/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99.19</v>
      </c>
      <c r="S41" s="17" t="n">
        <v>99.20999999999999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49">
        <f>SUM(M41:Z41)</f>
        <v/>
      </c>
      <c r="AB41" s="13" t="n"/>
    </row>
    <row r="42" ht="21" customHeight="1">
      <c r="A42" s="46" t="inlineStr">
        <is>
          <t>FRANCA</t>
        </is>
      </c>
      <c r="B42" s="15" t="inlineStr">
        <is>
          <t>CHAPA_25</t>
        </is>
      </c>
      <c r="C42" s="86">
        <f>AA42</f>
        <v/>
      </c>
      <c r="D42" s="50">
        <f>C42*0.1818</f>
        <v/>
      </c>
      <c r="E42" s="50">
        <f>SUM(C42:D42)</f>
        <v/>
      </c>
      <c r="F42" s="50">
        <f>E42*0.1111</f>
        <v/>
      </c>
      <c r="G42" s="50">
        <f>E42*0.083</f>
        <v/>
      </c>
      <c r="H42" s="50">
        <f>SUM(E42:G42)*0.08</f>
        <v/>
      </c>
      <c r="I42" s="47">
        <f>AA11</f>
        <v/>
      </c>
      <c r="J42" s="47">
        <f>IF(I11=0,0,VLOOKUP(B41,$B$6:$I$25,8,0))</f>
        <v/>
      </c>
      <c r="K42" s="48">
        <f>IF(E42+I42&lt;=$K$62,(E42+I42)*J78-J42,IF(E42+I42&lt;=$K$63,(E42+I42)*J79-J42,IF(E42+I42&lt;=$K$64,(E42+I42)*L80-J42,513.0125)))</f>
        <v/>
      </c>
      <c r="L42" s="9" t="n"/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99.22</v>
      </c>
      <c r="Y42" s="17" t="n">
        <v>0</v>
      </c>
      <c r="Z42" s="17" t="n">
        <v>0</v>
      </c>
      <c r="AA42" s="49">
        <f>SUM(M42:Z42)</f>
        <v/>
      </c>
      <c r="AB42" s="13" t="n"/>
    </row>
    <row r="43" ht="21" customHeight="1">
      <c r="A43" s="46" t="inlineStr">
        <is>
          <t>FRANCA</t>
        </is>
      </c>
      <c r="B43" s="15" t="n"/>
      <c r="C43" s="86">
        <f>AA43</f>
        <v/>
      </c>
      <c r="D43" s="50">
        <f>C43*0.1818</f>
        <v/>
      </c>
      <c r="E43" s="50">
        <f>SUM(C43:D43)</f>
        <v/>
      </c>
      <c r="F43" s="50">
        <f>E43*0.1111</f>
        <v/>
      </c>
      <c r="G43" s="50">
        <f>E43*0.083</f>
        <v/>
      </c>
      <c r="H43" s="50">
        <f>SUM(E43:G43)*0.08</f>
        <v/>
      </c>
      <c r="I43" s="47">
        <f>AA12</f>
        <v/>
      </c>
      <c r="J43" s="47">
        <f>IF(I12=0,0,VLOOKUP(B42,$B$6:$I$25,8,0))</f>
        <v/>
      </c>
      <c r="K43" s="48">
        <f>IF(E43+I43&lt;=$K$62,(E43+I43)*J79-J43,IF(E43+I43&lt;=$K$63,(E43+I43)*J80-J43,IF(E43+I43&lt;=$K$64,(E43+I43)*L81-J43,513.0125)))</f>
        <v/>
      </c>
      <c r="L43" s="9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49">
        <f>SUM(M43:Z43)</f>
        <v/>
      </c>
      <c r="AB43" s="13" t="n"/>
    </row>
    <row r="44" ht="21" customHeight="1">
      <c r="A44" s="46" t="inlineStr">
        <is>
          <t>FRANCA</t>
        </is>
      </c>
      <c r="B44" s="15" t="n"/>
      <c r="C44" s="86">
        <f>AA44</f>
        <v/>
      </c>
      <c r="D44" s="50">
        <f>C44*0.1818</f>
        <v/>
      </c>
      <c r="E44" s="50">
        <f>SUM(C44:D44)</f>
        <v/>
      </c>
      <c r="F44" s="50">
        <f>E44*0.1111</f>
        <v/>
      </c>
      <c r="G44" s="50">
        <f>E44*0.083</f>
        <v/>
      </c>
      <c r="H44" s="50">
        <f>SUM(E44:G44)*0.08</f>
        <v/>
      </c>
      <c r="I44" s="47">
        <f>AA13</f>
        <v/>
      </c>
      <c r="J44" s="47">
        <f>IF(I13=0,0,VLOOKUP(B43,$B$6:$I$25,8,0))</f>
        <v/>
      </c>
      <c r="K44" s="48">
        <f>IF(E44+I44&lt;=$K$62,(E44+I44)*J80-J44,IF(E44+I44&lt;=$K$63,(E44+I44)*J81-J44,IF(E44+I44&lt;=$K$64,(E44+I44)*L82-J44,513.0125)))</f>
        <v/>
      </c>
      <c r="L44" s="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49">
        <f>SUM(M44:Z44)</f>
        <v/>
      </c>
      <c r="AB44" s="13" t="n"/>
    </row>
    <row r="45" ht="21" customHeight="1">
      <c r="A45" s="46" t="inlineStr">
        <is>
          <t>FRANCA</t>
        </is>
      </c>
      <c r="B45" s="15" t="n"/>
      <c r="C45" s="86">
        <f>AA45</f>
        <v/>
      </c>
      <c r="D45" s="50">
        <f>C45*0.1818</f>
        <v/>
      </c>
      <c r="E45" s="50">
        <f>SUM(C45:D45)</f>
        <v/>
      </c>
      <c r="F45" s="50">
        <f>E45*0.1111</f>
        <v/>
      </c>
      <c r="G45" s="50">
        <f>E45*0.083</f>
        <v/>
      </c>
      <c r="H45" s="50">
        <f>SUM(E45:G45)*0.08</f>
        <v/>
      </c>
      <c r="I45" s="47">
        <f>AA14</f>
        <v/>
      </c>
      <c r="J45" s="47">
        <f>IF(I14=0,0,VLOOKUP(B45,$B$6:$I$25,8,0))</f>
        <v/>
      </c>
      <c r="K45" s="48">
        <f>IF(E45+I45&lt;=$K$62,(E45+I45)*J81-J45,IF(E45+I45&lt;=$K$63,(E45+I45)*J82-J45,IF(E45+I45&lt;=$K$64,(E45+I45)*L83-J45,513.0125)))</f>
        <v/>
      </c>
      <c r="L45" s="9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49">
        <f>SUM(M45:Z45)</f>
        <v/>
      </c>
      <c r="AB45" s="13" t="n"/>
    </row>
    <row r="46" ht="21" customHeight="1">
      <c r="A46" s="46" t="inlineStr">
        <is>
          <t>FRANCA</t>
        </is>
      </c>
      <c r="B46" s="15" t="n"/>
      <c r="C46" s="86">
        <f>AA46</f>
        <v/>
      </c>
      <c r="D46" s="50">
        <f>C46*0.1818</f>
        <v/>
      </c>
      <c r="E46" s="50">
        <f>SUM(C46:D46)</f>
        <v/>
      </c>
      <c r="F46" s="50">
        <f>E46*0.1111</f>
        <v/>
      </c>
      <c r="G46" s="50">
        <f>E46*0.083</f>
        <v/>
      </c>
      <c r="H46" s="50">
        <f>SUM(E46:G46)*0.08</f>
        <v/>
      </c>
      <c r="I46" s="47">
        <f>AA15</f>
        <v/>
      </c>
      <c r="J46" s="47">
        <f>IF(I15=0,0,VLOOKUP(B46,$B$6:$I$25,8,0))</f>
        <v/>
      </c>
      <c r="K46" s="48">
        <f>IF(E46+I46&lt;=$K$62,(E46+I46)*J82-J46,IF(E46+I46&lt;=$K$63,(E46+I46)*J83-J46,IF(E46+I46&lt;=$K$64,(E46+I46)*L84-J46,513.0125)))</f>
        <v/>
      </c>
      <c r="L46" s="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49">
        <f>SUM(M46:Z46)</f>
        <v/>
      </c>
      <c r="AB46" s="13" t="n"/>
    </row>
    <row r="47" ht="21" customHeight="1">
      <c r="A47" s="46" t="inlineStr">
        <is>
          <t>FRANCA</t>
        </is>
      </c>
      <c r="B47" s="15" t="n"/>
      <c r="C47" s="86" t="n">
        <v>0</v>
      </c>
      <c r="D47" s="50">
        <f>C47*0.1818</f>
        <v/>
      </c>
      <c r="E47" s="50">
        <f>SUM(C47:D47)</f>
        <v/>
      </c>
      <c r="F47" s="50">
        <f>E47*0.1111</f>
        <v/>
      </c>
      <c r="G47" s="50">
        <f>E47*0.083</f>
        <v/>
      </c>
      <c r="H47" s="50">
        <f>SUM(E47:G47)*0.08</f>
        <v/>
      </c>
      <c r="I47" s="47">
        <f>AA16</f>
        <v/>
      </c>
      <c r="J47" s="47">
        <f>IF(I16=0,0,VLOOKUP(B47,$B$6:$I$25,8,0))</f>
        <v/>
      </c>
      <c r="K47" s="48">
        <f>IF(E47+I47&lt;=$K$62,(E47+I47)*J83-J47,IF(E47+I47&lt;=$K$63,(E47+I47)*J84-J47,IF(E47+I47&lt;=$K$64,(E47+I47)*L85-J47,513.0125)))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49">
        <f>SUM(M47:Z47)</f>
        <v/>
      </c>
      <c r="AB47" s="13" t="n"/>
    </row>
    <row r="48" ht="21" customHeight="1">
      <c r="A48" s="46" t="inlineStr">
        <is>
          <t>FRANCA</t>
        </is>
      </c>
      <c r="B48" s="15" t="n"/>
      <c r="C48" s="86">
        <f>AA48</f>
        <v/>
      </c>
      <c r="D48" s="50">
        <f>C48*0.1818</f>
        <v/>
      </c>
      <c r="E48" s="50">
        <f>SUM(C48:D48)</f>
        <v/>
      </c>
      <c r="F48" s="50">
        <f>E48*0.1111</f>
        <v/>
      </c>
      <c r="G48" s="50">
        <f>E48*0.083</f>
        <v/>
      </c>
      <c r="H48" s="50">
        <f>SUM(E48:G48)*0.08</f>
        <v/>
      </c>
      <c r="I48" s="47">
        <f>AA17</f>
        <v/>
      </c>
      <c r="J48" s="47">
        <f>IF(I17=0,0,VLOOKUP(B48,$B$6:$I$25,8,0))</f>
        <v/>
      </c>
      <c r="K48" s="48">
        <f>IF(E48+I48&lt;=$K$62,(E48+I48)*J84-J48,IF(E48+I48&lt;=$K$63,(E48+I48)*J85-J48,IF(E48+I48&lt;=$K$64,(E48+I48)*L86-J48,513.0125)))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51" t="n"/>
      <c r="AA48" s="49">
        <f>SUM(M48:Z48)</f>
        <v/>
      </c>
      <c r="AB48" s="13" t="n"/>
    </row>
    <row r="49" ht="21" customHeight="1">
      <c r="A49" s="46" t="inlineStr">
        <is>
          <t>FRANCA</t>
        </is>
      </c>
      <c r="B49" s="15" t="n"/>
      <c r="C49" s="86">
        <f>AA49</f>
        <v/>
      </c>
      <c r="D49" s="50">
        <f>C49*0.1818</f>
        <v/>
      </c>
      <c r="E49" s="50">
        <f>SUM(C49:D49)</f>
        <v/>
      </c>
      <c r="F49" s="50">
        <f>E49*0.1111</f>
        <v/>
      </c>
      <c r="G49" s="50">
        <f>E49*0.083</f>
        <v/>
      </c>
      <c r="H49" s="50">
        <f>SUM(E49:G49)*0.08</f>
        <v/>
      </c>
      <c r="I49" s="47">
        <f>AA18</f>
        <v/>
      </c>
      <c r="J49" s="47">
        <f>IF(I18=0,0,VLOOKUP(B49,$B$6:$I$25,8,0))</f>
        <v/>
      </c>
      <c r="K49" s="48">
        <f>IF(E49+I49&lt;=$K$62,(E49+I49)*J85-J49,IF(E49+I49&lt;=$K$63,(E49+I49)*J86-J49,IF(E49+I49&lt;=$K$64,(E49+I49)*L87-J49,513.0125)))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51" t="n"/>
      <c r="AA49" s="49">
        <f>SUM(M49:Z49)</f>
        <v/>
      </c>
      <c r="AB49" s="13" t="n"/>
    </row>
    <row r="50" ht="21" customHeight="1">
      <c r="A50" s="46" t="inlineStr">
        <is>
          <t>FRANCA</t>
        </is>
      </c>
      <c r="B50" s="15" t="n"/>
      <c r="C50" s="86">
        <f>AA50</f>
        <v/>
      </c>
      <c r="D50" s="50">
        <f>C50*0.1818</f>
        <v/>
      </c>
      <c r="E50" s="50">
        <f>SUM(C50:D50)</f>
        <v/>
      </c>
      <c r="F50" s="50">
        <f>E50*0.1111</f>
        <v/>
      </c>
      <c r="G50" s="50">
        <f>E50*0.083</f>
        <v/>
      </c>
      <c r="H50" s="50">
        <f>SUM(E50:G50)*0.08</f>
        <v/>
      </c>
      <c r="I50" s="47">
        <f>AA19</f>
        <v/>
      </c>
      <c r="J50" s="47">
        <f>IF(I19=0,0,VLOOKUP(B50,$B$6:$I$25,8,0))</f>
        <v/>
      </c>
      <c r="K50" s="48">
        <f>IF(E50+I50&lt;=$K$62,(E50+I50)*J86-J50,IF(E50+I50&lt;=$K$63,(E50+I50)*J87-J50,IF(E50+I50&lt;=$K$64,(E50+I50)*L88-J50,513.0125)))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51" t="n"/>
      <c r="AA50" s="49">
        <f>SUM(M50:Z50)</f>
        <v/>
      </c>
      <c r="AB50" s="13" t="n"/>
    </row>
    <row r="51" ht="21" customHeight="1">
      <c r="A51" s="46" t="inlineStr">
        <is>
          <t>FRANCA</t>
        </is>
      </c>
      <c r="B51" s="15" t="n"/>
      <c r="C51" s="86">
        <f>AA51</f>
        <v/>
      </c>
      <c r="D51" s="50">
        <f>C51*0.1818</f>
        <v/>
      </c>
      <c r="E51" s="50">
        <f>SUM(C51:D51)</f>
        <v/>
      </c>
      <c r="F51" s="50">
        <f>E51*0.1111</f>
        <v/>
      </c>
      <c r="G51" s="50">
        <f>E51*0.083</f>
        <v/>
      </c>
      <c r="H51" s="50">
        <f>SUM(E51:G51)*0.08</f>
        <v/>
      </c>
      <c r="I51" s="47">
        <f>AA20</f>
        <v/>
      </c>
      <c r="J51" s="47">
        <f>IF(I20=0,0,VLOOKUP(B51,$B$6:$I$25,8,0))</f>
        <v/>
      </c>
      <c r="K51" s="48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51" t="n"/>
      <c r="Z51" s="51" t="n"/>
      <c r="AA51" s="49">
        <f>SUM(M51:Z51)</f>
        <v/>
      </c>
      <c r="AB51" s="13" t="n"/>
    </row>
    <row r="52" ht="21" customHeight="1">
      <c r="A52" s="46" t="inlineStr">
        <is>
          <t>FRANCA</t>
        </is>
      </c>
      <c r="B52" s="15" t="n"/>
      <c r="C52" s="86">
        <f>AA52</f>
        <v/>
      </c>
      <c r="D52" s="50">
        <f>C52*0.1818</f>
        <v/>
      </c>
      <c r="E52" s="50">
        <f>SUM(C52:D52)</f>
        <v/>
      </c>
      <c r="F52" s="50">
        <f>E52*0.1111</f>
        <v/>
      </c>
      <c r="G52" s="50">
        <f>E52*0.083</f>
        <v/>
      </c>
      <c r="H52" s="50">
        <f>SUM(E52:G52)*0.08</f>
        <v/>
      </c>
      <c r="I52" s="47">
        <f>AA21</f>
        <v/>
      </c>
      <c r="J52" s="47">
        <f>IF(I21=0,0,VLOOKUP(B52,$B$6:$I$25,8,0))</f>
        <v/>
      </c>
      <c r="K52" s="48">
        <f>IF(E52+I52&lt;=$K$62,(E52+I52)*J88-J52,IF(E52+I52&lt;=$K$63,(E52+I52)*J89-J52,IF(E52+I52&lt;=$K$64,(E52+I52)*L90-J52,513.0125)))</f>
        <v/>
      </c>
      <c r="L52" s="9" t="n"/>
      <c r="M52" s="17" t="n"/>
      <c r="N52" s="52" t="n"/>
      <c r="O52" s="52" t="n"/>
      <c r="P52" s="17" t="n"/>
      <c r="Q52" s="52" t="n"/>
      <c r="R52" s="17" t="n"/>
      <c r="S52" s="52" t="n"/>
      <c r="T52" s="17" t="n"/>
      <c r="U52" s="17" t="n"/>
      <c r="V52" s="52" t="n"/>
      <c r="W52" s="51" t="n"/>
      <c r="X52" s="51" t="n"/>
      <c r="Y52" s="51" t="n"/>
      <c r="Z52" s="51" t="n"/>
      <c r="AA52" s="49">
        <f>SUM(M52:Z52)</f>
        <v/>
      </c>
      <c r="AB52" s="13" t="n"/>
    </row>
    <row r="53" ht="21" customHeight="1">
      <c r="A53" s="46" t="inlineStr">
        <is>
          <t>FRANCA</t>
        </is>
      </c>
      <c r="B53" s="15" t="n"/>
      <c r="C53" s="86">
        <f>AA53</f>
        <v/>
      </c>
      <c r="D53" s="50">
        <f>C53*0.1818</f>
        <v/>
      </c>
      <c r="E53" s="50">
        <f>SUM(C53:D53)</f>
        <v/>
      </c>
      <c r="F53" s="50">
        <f>E53*0.1111</f>
        <v/>
      </c>
      <c r="G53" s="50">
        <f>E53*0.083</f>
        <v/>
      </c>
      <c r="H53" s="50">
        <f>SUM(E53:G53)*0.08</f>
        <v/>
      </c>
      <c r="I53" s="47">
        <f>AA22</f>
        <v/>
      </c>
      <c r="J53" s="47">
        <f>IF(I22=0,0,VLOOKUP(B53,$B$6:$I$25,8,0))</f>
        <v/>
      </c>
      <c r="K53" s="48">
        <f>IF(E53+I53&lt;=$K$62,(E53+I53)*J89-J53,IF(E53+I53&lt;=$K$63,(E53+I53)*J90-J53,IF(E53+I53&lt;=$K$64,(E53+I53)*L91-J53,513.0125)))</f>
        <v/>
      </c>
      <c r="L53" s="9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1" t="n"/>
      <c r="X53" s="51" t="n"/>
      <c r="Y53" s="51" t="n"/>
      <c r="Z53" s="51" t="n"/>
      <c r="AA53" s="49">
        <f>SUM(M53:Z53)</f>
        <v/>
      </c>
      <c r="AB53" s="13" t="n"/>
    </row>
    <row r="54" ht="21.6" customHeight="1" thickBot="1">
      <c r="A54" s="46" t="inlineStr">
        <is>
          <t>FRANCA</t>
        </is>
      </c>
      <c r="B54" s="53" t="n"/>
      <c r="C54" s="87">
        <f>AA54</f>
        <v/>
      </c>
      <c r="D54" s="54">
        <f>C54*0.1818</f>
        <v/>
      </c>
      <c r="E54" s="54">
        <f>SUM(C54:D54)</f>
        <v/>
      </c>
      <c r="F54" s="54">
        <f>E54*0.1111</f>
        <v/>
      </c>
      <c r="G54" s="54">
        <f>E54*0.083</f>
        <v/>
      </c>
      <c r="H54" s="54">
        <f>SUM(E54:G54)*0.08</f>
        <v/>
      </c>
      <c r="I54" s="55">
        <f>AA23</f>
        <v/>
      </c>
      <c r="J54" s="55">
        <f>IF(I23=0,0,VLOOKUP(B54,$B$6:$I$25,8,0))</f>
        <v/>
      </c>
      <c r="K54" s="56">
        <f>IF(E54+I54&lt;=$K$62,(E54+I54)*J90-J54,IF(E54+I54&lt;=$K$63,(E54+I54)*J91-J54,IF(E54+I54&lt;=$K$64,(E54+I54)*L92-J54,513.0125)))</f>
        <v/>
      </c>
      <c r="L54" s="9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49">
        <f>SUM(M54:Z54)</f>
        <v/>
      </c>
      <c r="AB54" s="13" t="n"/>
    </row>
    <row r="55"/>
    <row r="56" ht="15" customHeight="1" thickBot="1"/>
    <row r="57" ht="21.6" customHeight="1" thickBot="1">
      <c r="E57" s="64" t="inlineStr">
        <is>
          <t>MÉDIA DIARIA CHAPAS</t>
        </is>
      </c>
      <c r="F57" s="108" t="n"/>
      <c r="G57" s="37" t="n">
        <v>10</v>
      </c>
      <c r="M57" s="29" t="inlineStr">
        <is>
          <t>TOTAL GERAL / BOLETIM ENSACADORES:</t>
        </is>
      </c>
      <c r="N57" s="30" t="n"/>
      <c r="O57" s="30" t="n"/>
      <c r="P57" s="30" t="n"/>
      <c r="Q57" s="30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2" t="inlineStr">
        <is>
          <t>TOTAL:</t>
        </is>
      </c>
    </row>
    <row r="58" ht="21" customHeight="1">
      <c r="M58" s="33">
        <f>SUM(M34:M55)</f>
        <v/>
      </c>
      <c r="N58" s="33">
        <f>SUM(N34:N55)</f>
        <v/>
      </c>
      <c r="O58" s="33">
        <f>SUM(O34:O46)</f>
        <v/>
      </c>
      <c r="P58" s="33">
        <f>SUM(P34:P55)</f>
        <v/>
      </c>
      <c r="Q58" s="33">
        <f>SUM(Q34:Q54)</f>
        <v/>
      </c>
      <c r="R58" s="33">
        <f>SUM(R34:R55)</f>
        <v/>
      </c>
      <c r="S58" s="33">
        <f>SUM(S34:S55)</f>
        <v/>
      </c>
      <c r="T58" s="33">
        <f>SUM(T34:T55)</f>
        <v/>
      </c>
      <c r="U58" s="33">
        <f>SUM(U34:U55)</f>
        <v/>
      </c>
      <c r="V58" s="33">
        <f>SUM(V34:V55)</f>
        <v/>
      </c>
      <c r="W58" s="33">
        <f>SUM(W34:W55)</f>
        <v/>
      </c>
      <c r="X58" s="33">
        <f>SUM(X34:X55)</f>
        <v/>
      </c>
      <c r="Y58" s="33">
        <f>SUM(Y34:Y55)</f>
        <v/>
      </c>
      <c r="Z58" s="33">
        <f>SUM(Z34:Z55)</f>
        <v/>
      </c>
      <c r="AA58" s="34" t="n"/>
      <c r="AB58" s="35">
        <f>SUM(M58:Z58)</f>
        <v/>
      </c>
    </row>
  </sheetData>
  <mergeCells count="5">
    <mergeCell ref="E57:F57"/>
    <mergeCell ref="M31:AB31"/>
    <mergeCell ref="A1:I1"/>
    <mergeCell ref="M1:AA1"/>
    <mergeCell ref="A31:K31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"/>
  <sheetViews>
    <sheetView zoomScale="55" zoomScaleNormal="55" workbookViewId="0">
      <selection activeCell="A64" sqref="A1:AB64"/>
    </sheetView>
  </sheetViews>
  <sheetFormatPr baseColWidth="8" defaultColWidth="23.109375" defaultRowHeight="14.4"/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2" t="n"/>
      <c r="AD3" s="2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  <c r="AC4" s="2" t="n"/>
      <c r="AD4" s="2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45901</v>
      </c>
      <c r="N5" s="11" t="n">
        <v>45902</v>
      </c>
      <c r="O5" s="11" t="n">
        <v>45903</v>
      </c>
      <c r="P5" s="11" t="n">
        <v>45904</v>
      </c>
      <c r="Q5" s="11" t="n">
        <v>45905</v>
      </c>
      <c r="R5" s="11" t="n">
        <v>45906</v>
      </c>
      <c r="S5" s="11" t="n">
        <v>45908</v>
      </c>
      <c r="T5" s="11" t="n">
        <v>45909</v>
      </c>
      <c r="U5" s="11" t="n">
        <v>45910</v>
      </c>
      <c r="V5" s="11" t="n">
        <v>45911</v>
      </c>
      <c r="W5" s="11" t="n">
        <v>45912</v>
      </c>
      <c r="X5" s="11" t="n">
        <v>45913</v>
      </c>
      <c r="Y5" s="11" t="n">
        <v>45915</v>
      </c>
      <c r="Z5" s="11" t="n"/>
      <c r="AA5" s="12" t="inlineStr">
        <is>
          <t>TOTAL</t>
        </is>
      </c>
      <c r="AB5" s="13" t="n"/>
      <c r="AC5" s="13" t="n"/>
      <c r="AD5" s="13" t="n"/>
    </row>
    <row r="6" ht="21" customHeight="1">
      <c r="A6" s="14" t="inlineStr">
        <is>
          <t>FRANCA</t>
        </is>
      </c>
      <c r="B6" s="22" t="inlineStr">
        <is>
          <t>CHAPA_06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95.81999999999999</v>
      </c>
      <c r="N6" s="17" t="n">
        <v>78.88</v>
      </c>
      <c r="O6" s="17" t="n">
        <v>112.58</v>
      </c>
      <c r="P6" s="17" t="n">
        <v>149.91</v>
      </c>
      <c r="Q6" s="17" t="n">
        <v>149.91</v>
      </c>
      <c r="R6" s="17" t="n">
        <v>0</v>
      </c>
      <c r="S6" s="17" t="n">
        <v>99.19</v>
      </c>
      <c r="T6" s="17" t="n">
        <v>0</v>
      </c>
      <c r="U6" s="17" t="n">
        <v>118.37</v>
      </c>
      <c r="V6" s="17" t="n">
        <v>99.19</v>
      </c>
      <c r="W6" s="17" t="n">
        <v>99.19</v>
      </c>
      <c r="X6" s="17" t="n">
        <v>45.08</v>
      </c>
      <c r="Y6" s="17" t="n">
        <v>99.19</v>
      </c>
      <c r="Z6" s="17" t="n"/>
      <c r="AA6" s="18">
        <f>SUM(M6:Z6)</f>
        <v/>
      </c>
      <c r="AB6" s="13" t="n"/>
      <c r="AC6" s="13" t="n"/>
      <c r="AD6" s="13" t="n"/>
    </row>
    <row r="7" ht="21" customHeight="1">
      <c r="A7" s="14" t="inlineStr">
        <is>
          <t>FRANCA</t>
        </is>
      </c>
      <c r="B7" s="24" t="inlineStr">
        <is>
          <t>CHAPA_15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0</v>
      </c>
      <c r="N7" s="17" t="n">
        <v>99.19</v>
      </c>
      <c r="O7" s="17" t="n">
        <v>112.58</v>
      </c>
      <c r="P7" s="17" t="n">
        <v>99.19</v>
      </c>
      <c r="Q7" s="17" t="n">
        <v>78.89</v>
      </c>
      <c r="R7" s="17" t="n">
        <v>45.08</v>
      </c>
      <c r="S7" s="17" t="n">
        <v>99.19</v>
      </c>
      <c r="T7" s="17" t="n">
        <v>45.07</v>
      </c>
      <c r="U7" s="17" t="n">
        <v>118.37</v>
      </c>
      <c r="V7" s="17" t="n">
        <v>99.19</v>
      </c>
      <c r="W7" s="17" t="n">
        <v>78.89</v>
      </c>
      <c r="X7" s="17" t="n">
        <v>0</v>
      </c>
      <c r="Y7" s="17" t="n">
        <v>99.19</v>
      </c>
      <c r="Z7" s="17" t="n"/>
      <c r="AA7" s="18">
        <f>SUM(M7:Z7)</f>
        <v/>
      </c>
      <c r="AB7" s="13" t="n"/>
      <c r="AC7" s="13" t="n"/>
      <c r="AD7" s="13" t="n"/>
    </row>
    <row r="8" ht="21" customHeight="1">
      <c r="A8" s="14" t="inlineStr">
        <is>
          <t>FRANCA</t>
        </is>
      </c>
      <c r="B8" s="15" t="inlineStr">
        <is>
          <t>CHAPA_20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99.19</v>
      </c>
      <c r="T8" s="17" t="n">
        <v>99.19</v>
      </c>
      <c r="U8" s="17" t="n">
        <v>118.37</v>
      </c>
      <c r="V8" s="17" t="n">
        <v>99.19</v>
      </c>
      <c r="W8" s="17" t="n">
        <v>99.19</v>
      </c>
      <c r="X8" s="17" t="n">
        <v>45.09</v>
      </c>
      <c r="Y8" s="17" t="n">
        <v>99.19</v>
      </c>
      <c r="Z8" s="17" t="n"/>
      <c r="AA8" s="18">
        <f>SUM(M8:Z8)</f>
        <v/>
      </c>
      <c r="AB8" s="13" t="n"/>
      <c r="AC8" s="13" t="n"/>
      <c r="AD8" s="13" t="n"/>
    </row>
    <row r="9" ht="21" customHeight="1">
      <c r="A9" s="14" t="inlineStr">
        <is>
          <t>FRANCA</t>
        </is>
      </c>
      <c r="B9" s="15" t="inlineStr">
        <is>
          <t>CHAPA_38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149.91</v>
      </c>
      <c r="N9" s="17" t="n">
        <v>99.19</v>
      </c>
      <c r="O9" s="17" t="n">
        <v>112.58</v>
      </c>
      <c r="P9" s="17" t="n">
        <v>149.91</v>
      </c>
      <c r="Q9" s="17" t="n">
        <v>149.91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/>
      <c r="AA9" s="18">
        <f>SUM(M9:Z9)</f>
        <v/>
      </c>
      <c r="AB9" s="13" t="n"/>
      <c r="AC9" s="13" t="n"/>
      <c r="AD9" s="13" t="n"/>
    </row>
    <row r="10" ht="21" customHeight="1">
      <c r="A10" s="14" t="inlineStr">
        <is>
          <t>FRANCA</t>
        </is>
      </c>
      <c r="B10" s="15" t="inlineStr">
        <is>
          <t>CHAPA_40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99.19</v>
      </c>
      <c r="N10" s="17" t="n">
        <v>99.19</v>
      </c>
      <c r="O10" s="17" t="n">
        <v>103.56</v>
      </c>
      <c r="P10" s="17" t="n">
        <v>99.19</v>
      </c>
      <c r="Q10" s="17" t="n">
        <v>99.19</v>
      </c>
      <c r="R10" s="17" t="n">
        <v>45.09</v>
      </c>
      <c r="S10" s="17" t="n">
        <v>45.07</v>
      </c>
      <c r="T10" s="17" t="n">
        <v>61.98</v>
      </c>
      <c r="U10" s="17" t="n">
        <v>118.37</v>
      </c>
      <c r="V10" s="17" t="n">
        <v>99.19</v>
      </c>
      <c r="W10" s="17" t="n">
        <v>99.19</v>
      </c>
      <c r="X10" s="17" t="n">
        <v>0</v>
      </c>
      <c r="Y10" s="17" t="n">
        <v>99.19</v>
      </c>
      <c r="Z10" s="17" t="n"/>
      <c r="AA10" s="18">
        <f>SUM(M10:Z10)</f>
        <v/>
      </c>
      <c r="AB10" s="13" t="n"/>
      <c r="AC10" s="13" t="n"/>
      <c r="AD10" s="13" t="n"/>
    </row>
    <row r="11" ht="21" customHeight="1">
      <c r="A11" s="14" t="inlineStr">
        <is>
          <t>FRANCA</t>
        </is>
      </c>
      <c r="B11" s="15" t="inlineStr">
        <is>
          <t>CHAPA_41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107.62</v>
      </c>
      <c r="N11" s="17" t="n">
        <v>99.19</v>
      </c>
      <c r="O11" s="17" t="n">
        <v>112.58</v>
      </c>
      <c r="P11" s="17" t="n">
        <v>99.19</v>
      </c>
      <c r="Q11" s="17" t="n">
        <v>99.19</v>
      </c>
      <c r="R11" s="17" t="n">
        <v>45.09</v>
      </c>
      <c r="S11" s="17" t="n">
        <v>56.34</v>
      </c>
      <c r="T11" s="17" t="n">
        <v>99.19</v>
      </c>
      <c r="U11" s="17" t="n">
        <v>118.38</v>
      </c>
      <c r="V11" s="17" t="n">
        <v>99.19</v>
      </c>
      <c r="W11" s="17" t="n">
        <v>99.19</v>
      </c>
      <c r="X11" s="17" t="n">
        <v>45.09</v>
      </c>
      <c r="Y11" s="17" t="n">
        <v>0</v>
      </c>
      <c r="Z11" s="17" t="n"/>
      <c r="AA11" s="18">
        <f>SUM(M11:Z11)</f>
        <v/>
      </c>
      <c r="AB11" s="13" t="n"/>
      <c r="AC11" s="13" t="n"/>
      <c r="AD11" s="13" t="n"/>
    </row>
    <row r="12" ht="21" customHeight="1">
      <c r="A12" s="14" t="inlineStr">
        <is>
          <t>FRANCA</t>
        </is>
      </c>
      <c r="B12" s="15" t="inlineStr">
        <is>
          <t>CHAPA_43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>
        <v>45.07</v>
      </c>
      <c r="N12" s="17" t="n">
        <v>99.19</v>
      </c>
      <c r="O12" s="17" t="n">
        <v>112.58</v>
      </c>
      <c r="P12" s="17" t="n">
        <v>99.20999999999999</v>
      </c>
      <c r="Q12" s="17" t="n">
        <v>99.19</v>
      </c>
      <c r="R12" s="17" t="n">
        <v>0</v>
      </c>
      <c r="S12" s="17" t="n">
        <v>78.88</v>
      </c>
      <c r="T12" s="17" t="n">
        <v>99.19</v>
      </c>
      <c r="U12" s="17" t="n">
        <v>118.39</v>
      </c>
      <c r="V12" s="17" t="n">
        <v>99.19</v>
      </c>
      <c r="W12" s="17" t="n">
        <v>45.07</v>
      </c>
      <c r="X12" s="17" t="n">
        <v>0</v>
      </c>
      <c r="Y12" s="17" t="n">
        <v>99.19</v>
      </c>
      <c r="Z12" s="17" t="n"/>
      <c r="AA12" s="18">
        <f>SUM(M12:Z12)</f>
        <v/>
      </c>
      <c r="AB12" s="13" t="n"/>
      <c r="AC12" s="13" t="n"/>
      <c r="AD12" s="13" t="n"/>
    </row>
    <row r="13" ht="21" customHeight="1">
      <c r="A13" s="14" t="inlineStr">
        <is>
          <t>FRANCA</t>
        </is>
      </c>
      <c r="B13" s="15" t="inlineStr">
        <is>
          <t>CHAPA_05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>
        <v>99.23</v>
      </c>
      <c r="N13" s="17" t="n">
        <v>99.19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/>
      <c r="AA13" s="18">
        <f>SUM(M13:Z13)</f>
        <v/>
      </c>
      <c r="AB13" s="13" t="n"/>
      <c r="AC13" s="13" t="n"/>
      <c r="AD13" s="13" t="n"/>
    </row>
    <row r="14" ht="21" customHeight="1">
      <c r="A14" s="14" t="inlineStr">
        <is>
          <t>FRANCA</t>
        </is>
      </c>
      <c r="B14" s="22" t="inlineStr">
        <is>
          <t>CHAPA_02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87.34999999999999</v>
      </c>
      <c r="N14" s="17" t="n">
        <v>99.19</v>
      </c>
      <c r="O14" s="17" t="n">
        <v>0</v>
      </c>
      <c r="P14" s="17" t="n">
        <v>141.45</v>
      </c>
      <c r="Q14" s="17" t="n">
        <v>67.63</v>
      </c>
      <c r="R14" s="17" t="n">
        <v>45.09</v>
      </c>
      <c r="S14" s="17" t="n">
        <v>99.2</v>
      </c>
      <c r="T14" s="17" t="n">
        <v>0</v>
      </c>
      <c r="U14" s="17" t="n">
        <v>45.09</v>
      </c>
      <c r="V14" s="17" t="n">
        <v>0</v>
      </c>
      <c r="W14" s="17" t="n">
        <v>99.19</v>
      </c>
      <c r="X14" s="17" t="n">
        <v>0</v>
      </c>
      <c r="Y14" s="17" t="n">
        <v>99.19</v>
      </c>
      <c r="Z14" s="17" t="n"/>
      <c r="AA14" s="18">
        <f>SUM(M14:Z14)</f>
        <v/>
      </c>
      <c r="AB14" s="13" t="n"/>
      <c r="AC14" s="13" t="n"/>
      <c r="AD14" s="13" t="n"/>
    </row>
    <row r="15" ht="21" customHeight="1">
      <c r="A15" s="14" t="inlineStr">
        <is>
          <t>FRANCA</t>
        </is>
      </c>
      <c r="B15" s="22" t="inlineStr">
        <is>
          <t>CHAPA_28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>
        <v>0</v>
      </c>
      <c r="N15" s="17" t="n">
        <v>99.2</v>
      </c>
      <c r="O15" s="17" t="n">
        <v>99.19</v>
      </c>
      <c r="P15" s="17" t="n">
        <v>99.2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/>
      <c r="AA15" s="18">
        <f>SUM(M15:Z15)</f>
        <v/>
      </c>
      <c r="AB15" s="13" t="n"/>
      <c r="AC15" s="13" t="n"/>
      <c r="AD15" s="13" t="n"/>
    </row>
    <row r="16" ht="21" customHeight="1">
      <c r="A16" s="14" t="inlineStr">
        <is>
          <t>FRANCA</t>
        </is>
      </c>
      <c r="B16" s="22" t="inlineStr">
        <is>
          <t>CHAPA_09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>
        <v>149.91</v>
      </c>
      <c r="N16" s="17" t="n">
        <v>99.20999999999999</v>
      </c>
      <c r="O16" s="17" t="n">
        <v>112.59</v>
      </c>
      <c r="P16" s="17" t="n">
        <v>149.91</v>
      </c>
      <c r="Q16" s="17" t="n">
        <v>149.93</v>
      </c>
      <c r="R16" s="17" t="n">
        <v>0</v>
      </c>
      <c r="S16" s="17" t="n">
        <v>99.20999999999999</v>
      </c>
      <c r="T16" s="17" t="n">
        <v>99.22</v>
      </c>
      <c r="U16" s="17" t="n">
        <v>0</v>
      </c>
      <c r="V16" s="17" t="n">
        <v>99.19</v>
      </c>
      <c r="W16" s="17" t="n">
        <v>99.20999999999999</v>
      </c>
      <c r="X16" s="17" t="n">
        <v>0</v>
      </c>
      <c r="Y16" s="17" t="n">
        <v>99.19</v>
      </c>
      <c r="Z16" s="17" t="n"/>
      <c r="AA16" s="18">
        <f>SUM(M16:Z16)</f>
        <v/>
      </c>
      <c r="AB16" s="13" t="n"/>
      <c r="AC16" s="13" t="n"/>
      <c r="AD16" s="13" t="n"/>
    </row>
    <row r="17" ht="21" customHeight="1">
      <c r="A17" s="14" t="inlineStr">
        <is>
          <t>FRANCA</t>
        </is>
      </c>
      <c r="B17" s="15" t="inlineStr">
        <is>
          <t>CHAPA_42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99.20999999999999</v>
      </c>
      <c r="W17" s="17" t="n">
        <v>99.20999999999999</v>
      </c>
      <c r="X17" s="17" t="n">
        <v>45.09</v>
      </c>
      <c r="Y17" s="17" t="n">
        <v>99.20999999999999</v>
      </c>
      <c r="Z17" s="17" t="n"/>
      <c r="AA17" s="18">
        <f>SUM(M17:Z17)</f>
        <v/>
      </c>
      <c r="AB17" s="13" t="n"/>
      <c r="AC17" s="13" t="n"/>
      <c r="AD17" s="13" t="n"/>
    </row>
    <row r="18" ht="21" customHeight="1">
      <c r="A18" s="14" t="inlineStr">
        <is>
          <t>FRANCA</t>
        </is>
      </c>
      <c r="B18" s="15" t="n"/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8">
        <f>SUM(M18:Z18)</f>
        <v/>
      </c>
      <c r="AB18" s="13" t="n"/>
      <c r="AC18" s="13" t="n"/>
      <c r="AD18" s="13" t="n"/>
    </row>
    <row r="19" ht="21" customHeight="1">
      <c r="A19" s="14" t="inlineStr">
        <is>
          <t>FRANCA</t>
        </is>
      </c>
      <c r="B19" s="22" t="n"/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8">
        <f>SUM(M19:Z19)</f>
        <v/>
      </c>
      <c r="AB19" s="13" t="n"/>
      <c r="AC19" s="13" t="n"/>
      <c r="AD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  <c r="AC20" s="13" t="n"/>
      <c r="AD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  <c r="AC21" s="13" t="n"/>
      <c r="AD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  <c r="AC22" s="13" t="n"/>
      <c r="AD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  <c r="AC23" s="13" t="n"/>
      <c r="AD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  <c r="AC24" s="13" t="n"/>
      <c r="AD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  <c r="AC25" s="13" t="n"/>
      <c r="AD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  <c r="AC26" s="13" t="n"/>
      <c r="AD26" s="13" t="n"/>
    </row>
    <row r="27" ht="21" customHeight="1"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  <c r="AC27" s="13" t="n"/>
      <c r="AD27" s="13" t="n"/>
    </row>
    <row r="28" ht="21" customHeight="1"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>
        <f>SUM(Z6:Z25)</f>
        <v/>
      </c>
      <c r="AA28" s="34" t="n"/>
      <c r="AB28" s="35">
        <f>SUM(M28:Z28)</f>
        <v/>
      </c>
      <c r="AC28" s="13" t="n"/>
      <c r="AD28" s="13" t="n"/>
    </row>
    <row r="29" ht="21" customHeight="1" thickBot="1">
      <c r="J29" s="10" t="n"/>
      <c r="K29" s="10" t="n"/>
      <c r="L29" s="10" t="n"/>
      <c r="AC29" s="13" t="n"/>
      <c r="AD29" s="13" t="n"/>
    </row>
    <row r="30" ht="21.6" customHeight="1" thickBot="1">
      <c r="A30" s="36" t="inlineStr">
        <is>
          <t>MÉDIA DIÁRIA CHAPAS</t>
        </is>
      </c>
      <c r="B30" s="36" t="n"/>
      <c r="C30" s="37" t="n">
        <v>10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AC30" s="13" t="n"/>
      <c r="AD30" s="13" t="n"/>
    </row>
    <row r="31" ht="20.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3" t="n"/>
      <c r="AD31" s="13" t="n"/>
    </row>
    <row r="32" ht="21.6" customHeight="1" thickBot="1">
      <c r="A32" s="38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3" t="n"/>
      <c r="AD32" s="13" t="n"/>
    </row>
    <row r="33" ht="21" customHeight="1" thickBot="1">
      <c r="A33" s="111" t="inlineStr">
        <is>
          <t>2ª QUINZENA</t>
        </is>
      </c>
      <c r="B33" s="107" t="n"/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8" t="n"/>
      <c r="L33" s="4" t="n"/>
      <c r="M33" s="112" t="inlineStr">
        <is>
          <t xml:space="preserve">TOTAL </t>
        </is>
      </c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10" t="n"/>
      <c r="AC33" s="2" t="n"/>
      <c r="AD33" s="2" t="n"/>
    </row>
    <row r="34" ht="42.6" customHeight="1" thickBot="1">
      <c r="A34" s="40" t="inlineStr">
        <is>
          <t>LOCAL</t>
        </is>
      </c>
      <c r="B34" s="40" t="inlineStr">
        <is>
          <t>NOME</t>
        </is>
      </c>
      <c r="C34" s="41" t="inlineStr">
        <is>
          <t>DIÁRIA</t>
        </is>
      </c>
      <c r="D34" s="41" t="inlineStr">
        <is>
          <t>DSR</t>
        </is>
      </c>
      <c r="E34" s="41" t="inlineStr">
        <is>
          <t>TOTAL</t>
        </is>
      </c>
      <c r="F34" s="41" t="inlineStr">
        <is>
          <t>FÉRIAS</t>
        </is>
      </c>
      <c r="G34" s="41" t="inlineStr">
        <is>
          <t>13º SALÁRIO</t>
        </is>
      </c>
      <c r="H34" s="41" t="inlineStr">
        <is>
          <t>FGTS</t>
        </is>
      </c>
      <c r="I34" s="42" t="inlineStr">
        <is>
          <t>T. 1º Q.</t>
        </is>
      </c>
      <c r="J34" s="42" t="inlineStr">
        <is>
          <t>INSS 1º</t>
        </is>
      </c>
      <c r="K34" s="43" t="inlineStr">
        <is>
          <t>INSS</t>
        </is>
      </c>
      <c r="L34" s="9" t="n"/>
      <c r="M34" s="44" t="n">
        <v>45916</v>
      </c>
      <c r="N34" s="44" t="n">
        <v>45917</v>
      </c>
      <c r="O34" s="44" t="n">
        <v>45918</v>
      </c>
      <c r="P34" s="44" t="n">
        <v>45919</v>
      </c>
      <c r="Q34" s="44" t="n">
        <v>45920</v>
      </c>
      <c r="R34" s="44" t="n">
        <v>45922</v>
      </c>
      <c r="S34" s="44" t="n">
        <v>45923</v>
      </c>
      <c r="T34" s="44" t="n">
        <v>45924</v>
      </c>
      <c r="U34" s="44" t="n">
        <v>45925</v>
      </c>
      <c r="V34" s="44" t="n">
        <v>45926</v>
      </c>
      <c r="W34" s="44" t="n">
        <v>45927</v>
      </c>
      <c r="X34" s="44" t="n">
        <v>45929</v>
      </c>
      <c r="Y34" s="44" t="n">
        <v>45930</v>
      </c>
      <c r="Z34" s="45" t="n"/>
      <c r="AA34" s="8" t="inlineStr">
        <is>
          <t>TOTAL</t>
        </is>
      </c>
      <c r="AB34" s="13" t="n"/>
      <c r="AC34" s="13" t="n"/>
      <c r="AD34" s="13" t="n"/>
    </row>
    <row r="35" ht="21" customHeight="1">
      <c r="A35" s="46" t="inlineStr">
        <is>
          <t>FRANCA</t>
        </is>
      </c>
      <c r="B35" s="22" t="inlineStr">
        <is>
          <t>CHAPA_02</t>
        </is>
      </c>
      <c r="C35" s="10">
        <f>AA35</f>
        <v/>
      </c>
      <c r="D35" s="10">
        <f>C35*0.1818</f>
        <v/>
      </c>
      <c r="E35" s="10">
        <f>SUM(C35:D35)</f>
        <v/>
      </c>
      <c r="F35" s="10">
        <f>E35*0.1111</f>
        <v/>
      </c>
      <c r="G35" s="10">
        <f>E35*0.083</f>
        <v/>
      </c>
      <c r="H35" s="10">
        <f>SUM(E35:G35)*0.08</f>
        <v/>
      </c>
      <c r="I35" s="10">
        <f>IF(E35&lt;=$F$69,E35*$G$69,IF(E35&lt;=$F$70,E35*$G$70,IF(E35&lt;=$F$71,E35*$G$71,513.0125)))</f>
        <v/>
      </c>
      <c r="J35" s="88">
        <f>IF(I6=0,0,VLOOKUP(B35,$B$6:$I$25,8,0))</f>
        <v/>
      </c>
      <c r="K35" s="89">
        <f>IF(E35+I35&lt;=$K$62,(E35+I35)*J71-J35,IF(E35+I35&lt;=$K$63,(E35+I35)*J72-J35,IF(E35+I35&lt;=$K$64,(E35+I35)*L73-J35,513.0125)))</f>
        <v/>
      </c>
      <c r="L35" s="9" t="n"/>
      <c r="M35" s="17" t="n">
        <v>99.19</v>
      </c>
      <c r="N35" s="17" t="n">
        <v>61.99</v>
      </c>
      <c r="O35" s="17" t="n">
        <v>0</v>
      </c>
      <c r="P35" s="17" t="n">
        <v>99.19</v>
      </c>
      <c r="Q35" s="17" t="n">
        <v>0</v>
      </c>
      <c r="R35" s="17" t="n">
        <v>0</v>
      </c>
      <c r="S35" s="17" t="n">
        <v>143.72</v>
      </c>
      <c r="T35" s="17" t="n">
        <v>114.07</v>
      </c>
      <c r="U35" s="17" t="n">
        <v>0</v>
      </c>
      <c r="V35" s="17" t="n">
        <v>99.19</v>
      </c>
      <c r="W35" s="17" t="n">
        <v>0</v>
      </c>
      <c r="X35" s="17" t="n">
        <v>100.72</v>
      </c>
      <c r="Y35" s="17" t="n">
        <v>45.07</v>
      </c>
      <c r="Z35" s="17" t="n"/>
      <c r="AA35" s="49">
        <f>SUM(M35:Z35)</f>
        <v/>
      </c>
      <c r="AB35" s="13" t="n"/>
      <c r="AC35" s="13" t="n"/>
      <c r="AD35" s="13" t="n"/>
    </row>
    <row r="36" ht="21" customHeight="1">
      <c r="A36" s="46" t="inlineStr">
        <is>
          <t>FRANCA</t>
        </is>
      </c>
      <c r="B36" s="22" t="inlineStr">
        <is>
          <t>CHAPA_06</t>
        </is>
      </c>
      <c r="C36" s="10">
        <f>AA36</f>
        <v/>
      </c>
      <c r="D36" s="10">
        <f>C36*0.1818</f>
        <v/>
      </c>
      <c r="E36" s="10">
        <f>SUM(C36:D36)</f>
        <v/>
      </c>
      <c r="F36" s="10">
        <f>E36*0.1111</f>
        <v/>
      </c>
      <c r="G36" s="10">
        <f>E36*0.083</f>
        <v/>
      </c>
      <c r="H36" s="10">
        <f>SUM(E36:G36)*0.08</f>
        <v/>
      </c>
      <c r="I36" s="10">
        <f>IF(E36&lt;=$F$69,E36*$G$69,IF(E36&lt;=$F$70,E36*$G$70,IF(E36&lt;=$F$71,E36*$G$71,513.0125)))</f>
        <v/>
      </c>
      <c r="J36" s="88">
        <f>IF(#REF!=0,0,VLOOKUP(B36,$B$6:$I$25,8,0))</f>
        <v/>
      </c>
      <c r="K36" s="89">
        <f>IF(E36+I36&lt;=$K$62,(E36+I36)*J72-J36,IF(E36+I36&lt;=$K$63,(E36+I36)*J73-J36,IF(E36+I36&lt;=$K$64,(E36+I36)*L74-J36,513.0125)))</f>
        <v/>
      </c>
      <c r="L36" s="9" t="n"/>
      <c r="M36" s="17" t="n">
        <v>99.19</v>
      </c>
      <c r="N36" s="17" t="n">
        <v>0</v>
      </c>
      <c r="O36" s="17" t="n">
        <v>0</v>
      </c>
      <c r="P36" s="17" t="n">
        <v>45.07</v>
      </c>
      <c r="Q36" s="17" t="n">
        <v>0</v>
      </c>
      <c r="R36" s="17" t="n">
        <v>99.19</v>
      </c>
      <c r="S36" s="17" t="n">
        <v>143.72</v>
      </c>
      <c r="T36" s="17" t="n">
        <v>114.07</v>
      </c>
      <c r="U36" s="17" t="n">
        <v>99.19</v>
      </c>
      <c r="V36" s="17" t="n">
        <v>99.19</v>
      </c>
      <c r="W36" s="17" t="n">
        <v>0</v>
      </c>
      <c r="X36" s="17" t="n">
        <v>100.72</v>
      </c>
      <c r="Y36" s="17" t="n">
        <v>99.19</v>
      </c>
      <c r="Z36" s="17" t="n"/>
      <c r="AA36" s="49">
        <f>SUM(M36:Z36)</f>
        <v/>
      </c>
      <c r="AB36" s="13" t="n"/>
      <c r="AC36" s="13" t="n"/>
      <c r="AD36" s="13" t="n"/>
    </row>
    <row r="37" ht="21" customHeight="1">
      <c r="A37" s="46" t="inlineStr">
        <is>
          <t>FRANCA</t>
        </is>
      </c>
      <c r="B37" s="22" t="inlineStr">
        <is>
          <t>CHAPA_09</t>
        </is>
      </c>
      <c r="C37" s="10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IF(E37&lt;=$F$69,E37*$G$69,IF(E37&lt;=$F$70,E37*$G$70,IF(E37&lt;=$F$71,E37*$G$71,513.0125)))</f>
        <v/>
      </c>
      <c r="J37" s="88">
        <f>IF(I7=0,0,VLOOKUP(B37,$B$6:$I$25,8,0))</f>
        <v/>
      </c>
      <c r="K37" s="89">
        <f>IF(E37+I37&lt;=$K$62,(E37+I37)*J73-J37,IF(E37+I37&lt;=$K$63,(E37+I37)*J74-J37,IF(E37+I37&lt;=$K$64,(E37+I37)*L75-J37,513.0125)))</f>
        <v/>
      </c>
      <c r="L37" s="9" t="n"/>
      <c r="M37" s="17" t="n">
        <v>99.19</v>
      </c>
      <c r="N37" s="17" t="n">
        <v>99.19</v>
      </c>
      <c r="O37" s="17" t="n">
        <v>99.19</v>
      </c>
      <c r="P37" s="17" t="n">
        <v>99.19</v>
      </c>
      <c r="Q37" s="17" t="n">
        <v>45.09</v>
      </c>
      <c r="R37" s="17" t="n">
        <v>99.19</v>
      </c>
      <c r="S37" s="17" t="n">
        <v>131.68</v>
      </c>
      <c r="T37" s="17" t="n">
        <v>101.98</v>
      </c>
      <c r="U37" s="17" t="n">
        <v>99.19</v>
      </c>
      <c r="V37" s="17" t="n">
        <v>99.19</v>
      </c>
      <c r="W37" s="17" t="n">
        <v>45.09</v>
      </c>
      <c r="X37" s="17" t="n">
        <v>100.72</v>
      </c>
      <c r="Y37" s="17" t="n">
        <v>99.19</v>
      </c>
      <c r="Z37" s="17" t="n"/>
      <c r="AA37" s="49">
        <f>SUM(M37:Z37)</f>
        <v/>
      </c>
      <c r="AB37" s="13" t="n"/>
      <c r="AC37" s="13" t="n"/>
      <c r="AD37" s="13" t="n"/>
    </row>
    <row r="38" ht="21" customHeight="1">
      <c r="A38" s="46" t="inlineStr">
        <is>
          <t>FRANCA</t>
        </is>
      </c>
      <c r="B38" s="24" t="inlineStr">
        <is>
          <t>CHAPA_15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88">
        <f>IF(I8=0,0,VLOOKUP(B38,$B$6:$I$25,8,0))</f>
        <v/>
      </c>
      <c r="K38" s="89">
        <f>IF(E38+I38&lt;=$K$62,(E38+I38)*J74-J38,IF(E38+I38&lt;=$K$63,(E38+I38)*J75-J38,IF(E38+I38&lt;=$K$64,(E38+I38)*L76-J38,513.0125)))</f>
        <v/>
      </c>
      <c r="L38" s="9" t="n"/>
      <c r="M38" s="84" t="n">
        <v>99.19</v>
      </c>
      <c r="N38" s="17" t="n">
        <v>99.19</v>
      </c>
      <c r="O38" s="17" t="n">
        <v>99.19</v>
      </c>
      <c r="P38" s="17" t="n">
        <v>99.19</v>
      </c>
      <c r="Q38" s="17" t="n">
        <v>45.09</v>
      </c>
      <c r="R38" s="17" t="n">
        <v>99.19</v>
      </c>
      <c r="S38" s="17" t="n">
        <v>135.27</v>
      </c>
      <c r="T38" s="17" t="n">
        <v>114.07</v>
      </c>
      <c r="U38" s="17" t="n">
        <v>99.19</v>
      </c>
      <c r="V38" s="17" t="n">
        <v>87.91</v>
      </c>
      <c r="W38" s="17" t="n">
        <v>45.09</v>
      </c>
      <c r="X38" s="17" t="n">
        <v>0</v>
      </c>
      <c r="Y38" s="17" t="n">
        <v>99.19</v>
      </c>
      <c r="Z38" s="17" t="n"/>
      <c r="AA38" s="49">
        <f>SUM(M38:Z38)</f>
        <v/>
      </c>
      <c r="AB38" s="13" t="n"/>
      <c r="AC38" s="13" t="n"/>
      <c r="AD38" s="13" t="n"/>
    </row>
    <row r="39" ht="21" customHeight="1">
      <c r="A39" s="46" t="inlineStr">
        <is>
          <t>FRANCA</t>
        </is>
      </c>
      <c r="B39" s="15" t="inlineStr">
        <is>
          <t>CHAPA_20</t>
        </is>
      </c>
      <c r="C39" s="10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88">
        <f>IF(#REF!=0,0,VLOOKUP(B39,$B$6:$I$25,8,0))</f>
        <v/>
      </c>
      <c r="K39" s="89">
        <f>IF(E39+I39&lt;=$K$62,(E39+I39)*J75-J39,IF(E39+I39&lt;=$K$63,(E39+I39)*J76-J39,IF(E39+I39&lt;=$K$64,(E39+I39)*L77-J39,513.0125)))</f>
        <v/>
      </c>
      <c r="L39" s="9" t="n"/>
      <c r="M39" s="17" t="n">
        <v>99.19</v>
      </c>
      <c r="N39" s="17" t="n">
        <v>99.19</v>
      </c>
      <c r="O39" s="17" t="n">
        <v>99.19</v>
      </c>
      <c r="P39" s="17" t="n">
        <v>56.35</v>
      </c>
      <c r="Q39" s="17" t="n">
        <v>0</v>
      </c>
      <c r="R39" s="17" t="n">
        <v>99.19</v>
      </c>
      <c r="S39" s="17" t="n">
        <v>135.27</v>
      </c>
      <c r="T39" s="17" t="n">
        <v>0</v>
      </c>
      <c r="U39" s="17" t="n">
        <v>99.19</v>
      </c>
      <c r="V39" s="17" t="n">
        <v>99.19</v>
      </c>
      <c r="W39" s="17" t="n">
        <v>45.09</v>
      </c>
      <c r="X39" s="17" t="n">
        <v>100.72</v>
      </c>
      <c r="Y39" s="17" t="n">
        <v>0</v>
      </c>
      <c r="Z39" s="17" t="n"/>
      <c r="AA39" s="49">
        <f>SUM(M39:Z39)</f>
        <v/>
      </c>
      <c r="AB39" s="13" t="n"/>
      <c r="AC39" s="13" t="n"/>
      <c r="AD39" s="13" t="n"/>
    </row>
    <row r="40" ht="21" customHeight="1">
      <c r="A40" s="46" t="inlineStr">
        <is>
          <t>FRANCA</t>
        </is>
      </c>
      <c r="B40" s="15" t="inlineStr">
        <is>
          <t>CHAPA_38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IF(E40&lt;=$F$69,E40*$G$69,IF(E40&lt;=$F$70,E40*$G$70,IF(E40&lt;=$F$71,E40*$G$71,513.0125)))</f>
        <v/>
      </c>
      <c r="J40" s="88">
        <f>IF(I9=0,0,VLOOKUP(B40,$B$6:$I$25,8,0))</f>
        <v/>
      </c>
      <c r="K40" s="89">
        <f>IF(E40+I40&lt;=$K$62,(E40+I40)*J76-J40,IF(E40+I40&lt;=$K$63,(E40+I40)*J77-J40,IF(E40+I40&lt;=$K$64,(E40+I40)*L78-J40,513.0125)))</f>
        <v/>
      </c>
      <c r="L40" s="9" t="n"/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100.72</v>
      </c>
      <c r="Y40" s="17" t="n">
        <v>99.19</v>
      </c>
      <c r="Z40" s="17" t="n"/>
      <c r="AA40" s="49">
        <f>SUM(M40:Z40)</f>
        <v/>
      </c>
      <c r="AB40" s="13" t="n"/>
      <c r="AC40" s="13" t="n"/>
      <c r="AD40" s="13" t="n"/>
    </row>
    <row r="41" ht="21" customHeight="1">
      <c r="A41" s="46" t="inlineStr">
        <is>
          <t>FRANCA</t>
        </is>
      </c>
      <c r="B41" s="15" t="inlineStr">
        <is>
          <t>CHAPA_40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88">
        <f>IF(I10=0,0,VLOOKUP(B41,$B$6:$I$25,8,0))</f>
        <v/>
      </c>
      <c r="K41" s="89">
        <f>IF(E41+I41&lt;=$K$62,(E41+I41)*J77-J41,IF(E41+I41&lt;=$K$63,(E41+I41)*J78-J41,IF(E41+I41&lt;=$K$64,(E41+I41)*L79-J41,513.0125)))</f>
        <v/>
      </c>
      <c r="L41" s="9" t="n"/>
      <c r="M41" s="17" t="n">
        <v>0</v>
      </c>
      <c r="N41" s="17" t="n">
        <v>99.19</v>
      </c>
      <c r="O41" s="17" t="n">
        <v>99.19</v>
      </c>
      <c r="P41" s="17" t="n">
        <v>99.19</v>
      </c>
      <c r="Q41" s="17" t="n">
        <v>45.09</v>
      </c>
      <c r="R41" s="17" t="n">
        <v>99.19</v>
      </c>
      <c r="S41" s="17" t="n">
        <v>135.27</v>
      </c>
      <c r="T41" s="17" t="n">
        <v>114.07</v>
      </c>
      <c r="U41" s="17" t="n">
        <v>45.07</v>
      </c>
      <c r="V41" s="17" t="n">
        <v>45.07</v>
      </c>
      <c r="W41" s="17" t="n">
        <v>0</v>
      </c>
      <c r="X41" s="17" t="n">
        <v>0</v>
      </c>
      <c r="Y41" s="17" t="n">
        <v>99.19</v>
      </c>
      <c r="Z41" s="17" t="n"/>
      <c r="AA41" s="49">
        <f>SUM(M41:Z41)</f>
        <v/>
      </c>
      <c r="AB41" s="13" t="n"/>
      <c r="AC41" s="13" t="n"/>
      <c r="AD41" s="13" t="n"/>
    </row>
    <row r="42" ht="21" customHeight="1">
      <c r="A42" s="46" t="inlineStr">
        <is>
          <t>FRANCA</t>
        </is>
      </c>
      <c r="B42" s="15" t="inlineStr">
        <is>
          <t>CHAPA_41</t>
        </is>
      </c>
      <c r="C42" s="90">
        <f>AA42</f>
        <v/>
      </c>
      <c r="D42" s="90">
        <f>C42*0.1818</f>
        <v/>
      </c>
      <c r="E42" s="90">
        <f>SUM(C42:D42)</f>
        <v/>
      </c>
      <c r="F42" s="90">
        <f>E42*0.1111</f>
        <v/>
      </c>
      <c r="G42" s="90">
        <f>E42*0.083</f>
        <v/>
      </c>
      <c r="H42" s="90">
        <f>SUM(E42:G42)*0.08</f>
        <v/>
      </c>
      <c r="I42" s="88">
        <f>AA11</f>
        <v/>
      </c>
      <c r="J42" s="88">
        <f>IF(I11=0,0,VLOOKUP(B42,$B$6:$I$25,8,0))</f>
        <v/>
      </c>
      <c r="K42" s="89">
        <f>IF(E42+I42&lt;=$K$62,(E42+I42)*J78-J42,IF(E42+I42&lt;=$K$63,(E42+I42)*J79-J42,IF(E42+I42&lt;=$K$64,(E42+I42)*L80-J42,513.0125)))</f>
        <v/>
      </c>
      <c r="L42" s="9" t="n"/>
      <c r="M42" s="17" t="n">
        <v>99.19</v>
      </c>
      <c r="N42" s="17" t="n">
        <v>99.19</v>
      </c>
      <c r="O42" s="17" t="n">
        <v>99.19</v>
      </c>
      <c r="P42" s="17" t="n">
        <v>99.19</v>
      </c>
      <c r="Q42" s="17" t="n">
        <v>45.09</v>
      </c>
      <c r="R42" s="17" t="n">
        <v>99.19</v>
      </c>
      <c r="S42" s="17" t="n">
        <v>135.28</v>
      </c>
      <c r="T42" s="17" t="n">
        <v>114.07</v>
      </c>
      <c r="U42" s="17" t="n">
        <v>99.19</v>
      </c>
      <c r="V42" s="17" t="n">
        <v>99.19</v>
      </c>
      <c r="W42" s="17" t="n">
        <v>45.08</v>
      </c>
      <c r="X42" s="17" t="n">
        <v>0</v>
      </c>
      <c r="Y42" s="17" t="n">
        <v>99.19</v>
      </c>
      <c r="Z42" s="17" t="n"/>
      <c r="AA42" s="49">
        <f>SUM(M42:Z42)</f>
        <v/>
      </c>
      <c r="AB42" s="13" t="n"/>
      <c r="AC42" s="13" t="n"/>
      <c r="AD42" s="13" t="n"/>
    </row>
    <row r="43" ht="21" customHeight="1">
      <c r="A43" s="46" t="inlineStr">
        <is>
          <t>FRANCA</t>
        </is>
      </c>
      <c r="B43" s="22" t="inlineStr">
        <is>
          <t>CHAPA_42</t>
        </is>
      </c>
      <c r="C43" s="90">
        <f>AA43</f>
        <v/>
      </c>
      <c r="D43" s="90">
        <f>C43*0.1818</f>
        <v/>
      </c>
      <c r="E43" s="90">
        <f>SUM(C43:D43)</f>
        <v/>
      </c>
      <c r="F43" s="90">
        <f>E43*0.1111</f>
        <v/>
      </c>
      <c r="G43" s="90">
        <f>E43*0.083</f>
        <v/>
      </c>
      <c r="H43" s="90">
        <f>SUM(E43:G43)*0.08</f>
        <v/>
      </c>
      <c r="I43" s="88">
        <f>AA12</f>
        <v/>
      </c>
      <c r="J43" s="88">
        <f>IF(I12=0,0,VLOOKUP(#REF!,$B$6:$I$25,8,0))</f>
        <v/>
      </c>
      <c r="K43" s="89">
        <f>IF(E43+I43&lt;=$K$62,(E43+I43)*J79-J43,IF(E43+I43&lt;=$K$63,(E43+I43)*J80-J43,IF(E43+I43&lt;=$K$64,(E43+I43)*L81-J43,513.0125)))</f>
        <v/>
      </c>
      <c r="L43" s="9" t="n"/>
      <c r="M43" s="17" t="n">
        <v>99.19</v>
      </c>
      <c r="N43" s="17" t="n">
        <v>99.19</v>
      </c>
      <c r="O43" s="17" t="n">
        <v>99.19</v>
      </c>
      <c r="P43" s="17" t="n">
        <v>99.19</v>
      </c>
      <c r="Q43" s="17" t="n">
        <v>45.09</v>
      </c>
      <c r="R43" s="17" t="n">
        <v>133</v>
      </c>
      <c r="S43" s="17" t="n">
        <v>0</v>
      </c>
      <c r="T43" s="17" t="n">
        <v>114.07</v>
      </c>
      <c r="U43" s="17" t="n">
        <v>99.19</v>
      </c>
      <c r="V43" s="17" t="n">
        <v>99.20999999999999</v>
      </c>
      <c r="W43" s="17" t="n">
        <v>45.09</v>
      </c>
      <c r="X43" s="17" t="n">
        <v>100.72</v>
      </c>
      <c r="Y43" s="17" t="n">
        <v>99.19</v>
      </c>
      <c r="Z43" s="17" t="n"/>
      <c r="AA43" s="49">
        <f>SUM(M43:Z43)</f>
        <v/>
      </c>
      <c r="AB43" s="13" t="n"/>
      <c r="AC43" s="13" t="n"/>
      <c r="AD43" s="13" t="n"/>
    </row>
    <row r="44" ht="21" customHeight="1">
      <c r="A44" s="46" t="inlineStr">
        <is>
          <t>FRANCA</t>
        </is>
      </c>
      <c r="B44" s="15" t="inlineStr">
        <is>
          <t>CHAPA_43</t>
        </is>
      </c>
      <c r="C44" s="90">
        <f>AA44</f>
        <v/>
      </c>
      <c r="D44" s="90">
        <f>C44*0.1818</f>
        <v/>
      </c>
      <c r="E44" s="90">
        <f>SUM(C44:D44)</f>
        <v/>
      </c>
      <c r="F44" s="90">
        <f>E44*0.1111</f>
        <v/>
      </c>
      <c r="G44" s="90">
        <f>E44*0.083</f>
        <v/>
      </c>
      <c r="H44" s="90">
        <f>SUM(E44:G44)*0.08</f>
        <v/>
      </c>
      <c r="I44" s="88">
        <f>AA13</f>
        <v/>
      </c>
      <c r="J44" s="88">
        <f>IF(I13=0,0,VLOOKUP(B43,$B$6:$I$25,8,0))</f>
        <v/>
      </c>
      <c r="K44" s="89">
        <f>IF(E44+I44&lt;=$K$62,(E44+I44)*J80-J44,IF(E44+I44&lt;=$K$63,(E44+I44)*J81-J44,IF(E44+I44&lt;=$K$64,(E44+I44)*L82-J44,513.0125)))</f>
        <v/>
      </c>
      <c r="L44" s="9" t="n"/>
      <c r="M44" s="17" t="n">
        <v>99.20999999999999</v>
      </c>
      <c r="N44" s="17" t="n">
        <v>99.19</v>
      </c>
      <c r="O44" s="17" t="n">
        <v>99.19</v>
      </c>
      <c r="P44" s="17" t="n">
        <v>99.20999999999999</v>
      </c>
      <c r="Q44" s="17" t="n">
        <v>45.07</v>
      </c>
      <c r="R44" s="17" t="n">
        <v>99.2</v>
      </c>
      <c r="S44" s="17" t="n">
        <v>135.27</v>
      </c>
      <c r="T44" s="17" t="n">
        <v>114.07</v>
      </c>
      <c r="U44" s="17" t="n">
        <v>99.23</v>
      </c>
      <c r="V44" s="17" t="n">
        <v>99.20999999999999</v>
      </c>
      <c r="W44" s="17" t="n">
        <v>45.09</v>
      </c>
      <c r="X44" s="17" t="n">
        <v>0</v>
      </c>
      <c r="Y44" s="17" t="n">
        <v>99.22</v>
      </c>
      <c r="Z44" s="17" t="n"/>
      <c r="AA44" s="49">
        <f>SUM(M44:Z44)</f>
        <v/>
      </c>
      <c r="AB44" s="13" t="n"/>
      <c r="AC44" s="13" t="n"/>
      <c r="AD44" s="13" t="n"/>
    </row>
    <row r="45" ht="21" customHeight="1">
      <c r="A45" s="46" t="inlineStr">
        <is>
          <t>FRANCA</t>
        </is>
      </c>
      <c r="B45" s="91" t="inlineStr">
        <is>
          <t>CHAPA_22</t>
        </is>
      </c>
      <c r="C45" s="90">
        <f>AA45</f>
        <v/>
      </c>
      <c r="D45" s="90">
        <f>C45*0.1818</f>
        <v/>
      </c>
      <c r="E45" s="90">
        <f>SUM(C45:D45)</f>
        <v/>
      </c>
      <c r="F45" s="90">
        <f>E45*0.1111</f>
        <v/>
      </c>
      <c r="G45" s="90">
        <f>E45*0.083</f>
        <v/>
      </c>
      <c r="H45" s="90">
        <f>SUM(E45:G45)*0.08</f>
        <v/>
      </c>
      <c r="I45" s="88">
        <f>AA14</f>
        <v/>
      </c>
      <c r="J45" s="88">
        <f>IF(I14=0,0,VLOOKUP(B44,$B$6:$I$25,8,0))</f>
        <v/>
      </c>
      <c r="K45" s="89">
        <f>IF(E45+I45&lt;=$K$62,(E45+I45)*J81-J45,IF(E45+I45&lt;=$K$63,(E45+I45)*J82-J45,IF(E45+I45&lt;=$K$64,(E45+I45)*L83-J45,513.0125)))</f>
        <v/>
      </c>
      <c r="L45" s="9" t="n"/>
      <c r="M45" s="17" t="n">
        <v>0</v>
      </c>
      <c r="N45" s="17" t="n">
        <v>99.20999999999999</v>
      </c>
      <c r="O45" s="17" t="n">
        <v>99.20999999999999</v>
      </c>
      <c r="P45" s="17" t="n">
        <v>99.20999999999999</v>
      </c>
      <c r="Q45" s="17" t="n">
        <v>0</v>
      </c>
      <c r="R45" s="17" t="n">
        <v>99.20999999999999</v>
      </c>
      <c r="S45" s="17" t="n">
        <v>143.72</v>
      </c>
      <c r="T45" s="17" t="n">
        <v>114.07</v>
      </c>
      <c r="U45" s="17" t="n">
        <v>99.19</v>
      </c>
      <c r="V45" s="17" t="n">
        <v>0</v>
      </c>
      <c r="W45" s="17" t="n">
        <v>45.08</v>
      </c>
      <c r="X45" s="17" t="n">
        <v>100.72</v>
      </c>
      <c r="Y45" s="17" t="n">
        <v>99.2</v>
      </c>
      <c r="Z45" s="17" t="n"/>
      <c r="AA45" s="49">
        <f>SUM(M45:Z45)</f>
        <v/>
      </c>
      <c r="AB45" s="13" t="n"/>
      <c r="AC45" s="13" t="n"/>
      <c r="AD45" s="13" t="n"/>
    </row>
    <row r="46" ht="21" customHeight="1">
      <c r="A46" s="46" t="inlineStr">
        <is>
          <t>FRANCA</t>
        </is>
      </c>
      <c r="B46" s="24" t="n"/>
      <c r="C46" s="90">
        <f>AA46</f>
        <v/>
      </c>
      <c r="D46" s="90">
        <f>C46*0.1818</f>
        <v/>
      </c>
      <c r="E46" s="90">
        <f>SUM(C46:D46)</f>
        <v/>
      </c>
      <c r="F46" s="90">
        <f>E46*0.1111</f>
        <v/>
      </c>
      <c r="G46" s="90">
        <f>E46*0.083</f>
        <v/>
      </c>
      <c r="H46" s="90">
        <f>SUM(E46:G46)*0.08</f>
        <v/>
      </c>
      <c r="I46" s="88">
        <f>AA15</f>
        <v/>
      </c>
      <c r="J46" s="88">
        <f>IF(I15=0,0,VLOOKUP(B45,$B$6:$I$25,8,0))</f>
        <v/>
      </c>
      <c r="K46" s="89">
        <f>IF(E46+I46&lt;=$K$62,(E46+I46)*J82-J46,IF(E46+I46&lt;=$K$63,(E46+I46)*J83-J46,IF(E46+I46&lt;=$K$64,(E46+I46)*L84-J46,513.0125)))</f>
        <v/>
      </c>
      <c r="L46" s="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49">
        <f>SUM(M46:Z46)</f>
        <v/>
      </c>
      <c r="AB46" s="13" t="n"/>
      <c r="AC46" s="13" t="n"/>
      <c r="AD46" s="13" t="n"/>
    </row>
    <row r="47" ht="21" customHeight="1">
      <c r="A47" s="46" t="inlineStr">
        <is>
          <t>FRANCA</t>
        </is>
      </c>
      <c r="B47" s="15" t="n"/>
      <c r="C47" s="90">
        <f>AA47</f>
        <v/>
      </c>
      <c r="D47" s="90">
        <f>C47*0.1818</f>
        <v/>
      </c>
      <c r="E47" s="90">
        <f>SUM(C47:D47)</f>
        <v/>
      </c>
      <c r="F47" s="90">
        <f>E47*0.1111</f>
        <v/>
      </c>
      <c r="G47" s="90">
        <f>E47*0.083</f>
        <v/>
      </c>
      <c r="H47" s="90">
        <f>SUM(E47:G47)*0.08</f>
        <v/>
      </c>
      <c r="I47" s="88">
        <f>AA16</f>
        <v/>
      </c>
      <c r="J47" s="88">
        <f>IF(I16=0,0,VLOOKUP(B47,$B$6:$I$25,8,0))</f>
        <v/>
      </c>
      <c r="K47" s="89">
        <f>IF(E47+I47&lt;=$K$62,(E47+I47)*J83-J47,IF(E47+I47&lt;=$K$63,(E47+I47)*J84-J47,IF(E47+I47&lt;=$K$64,(E47+I47)*L85-J47,513.0125)))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49">
        <f>SUM(M47:Z47)</f>
        <v/>
      </c>
      <c r="AB47" s="13" t="n"/>
      <c r="AC47" s="13" t="n"/>
      <c r="AD47" s="13" t="n"/>
    </row>
    <row r="48" ht="21" customHeight="1">
      <c r="A48" s="46" t="inlineStr">
        <is>
          <t>FRANCA</t>
        </is>
      </c>
      <c r="B48" s="15" t="n"/>
      <c r="C48" s="90">
        <f>AA48</f>
        <v/>
      </c>
      <c r="D48" s="90">
        <f>C48*0.1818</f>
        <v/>
      </c>
      <c r="E48" s="90">
        <f>SUM(C48:D48)</f>
        <v/>
      </c>
      <c r="F48" s="90">
        <f>E48*0.1111</f>
        <v/>
      </c>
      <c r="G48" s="90">
        <f>E48*0.083</f>
        <v/>
      </c>
      <c r="H48" s="90">
        <f>SUM(E48:G48)*0.08</f>
        <v/>
      </c>
      <c r="I48" s="88">
        <f>AA17</f>
        <v/>
      </c>
      <c r="J48" s="88">
        <f>IF(I17=0,0,VLOOKUP(B48,$B$6:$I$25,8,0))</f>
        <v/>
      </c>
      <c r="K48" s="89">
        <f>IF(E48+I48&lt;=$K$62,(E48+I48)*J84-J48,IF(E48+I48&lt;=$K$63,(E48+I48)*J85-J48,IF(E48+I48&lt;=$K$64,(E48+I48)*L86-J48,513.0125)))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49">
        <f>SUM(M48:Z48)</f>
        <v/>
      </c>
      <c r="AB48" s="13" t="n"/>
      <c r="AC48" s="13" t="n"/>
      <c r="AD48" s="13" t="n"/>
    </row>
    <row r="49" ht="21" customHeight="1">
      <c r="A49" s="46" t="inlineStr">
        <is>
          <t>FRANCA</t>
        </is>
      </c>
      <c r="B49" s="15" t="n"/>
      <c r="C49" s="90" t="n">
        <v>0</v>
      </c>
      <c r="D49" s="90">
        <f>C49*0.1818</f>
        <v/>
      </c>
      <c r="E49" s="90">
        <f>SUM(C49:D49)</f>
        <v/>
      </c>
      <c r="F49" s="90">
        <f>E49*0.1111</f>
        <v/>
      </c>
      <c r="G49" s="90">
        <f>E49*0.083</f>
        <v/>
      </c>
      <c r="H49" s="90">
        <f>SUM(E49:G49)*0.08</f>
        <v/>
      </c>
      <c r="I49" s="88">
        <f>AA18</f>
        <v/>
      </c>
      <c r="J49" s="88">
        <f>IF(I18=0,0,VLOOKUP(B49,$B$6:$I$25,8,0))</f>
        <v/>
      </c>
      <c r="K49" s="89">
        <f>IF(E49+I49&lt;=$K$62,(E49+I49)*J85-J49,IF(E49+I49&lt;=$K$63,(E49+I49)*J86-J49,IF(E49+I49&lt;=$K$64,(E49+I49)*L87-J49,513.0125)))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49">
        <f>SUM(M49:Z49)</f>
        <v/>
      </c>
      <c r="AB49" s="13" t="n"/>
      <c r="AC49" s="13" t="n"/>
      <c r="AD49" s="13" t="n"/>
    </row>
    <row r="50" ht="21" customHeight="1">
      <c r="A50" s="46" t="inlineStr">
        <is>
          <t>FRANCA</t>
        </is>
      </c>
      <c r="B50" s="15" t="n"/>
      <c r="C50" s="90">
        <f>AA50</f>
        <v/>
      </c>
      <c r="D50" s="90">
        <f>C50*0.1818</f>
        <v/>
      </c>
      <c r="E50" s="90">
        <f>SUM(C50:D50)</f>
        <v/>
      </c>
      <c r="F50" s="90">
        <f>E50*0.1111</f>
        <v/>
      </c>
      <c r="G50" s="90">
        <f>E50*0.083</f>
        <v/>
      </c>
      <c r="H50" s="90">
        <f>SUM(E50:G50)*0.08</f>
        <v/>
      </c>
      <c r="I50" s="88">
        <f>AA19</f>
        <v/>
      </c>
      <c r="J50" s="88">
        <f>IF(I19=0,0,VLOOKUP(B50,$B$6:$I$25,8,0))</f>
        <v/>
      </c>
      <c r="K50" s="89">
        <f>IF(E50+I50&lt;=$K$62,(E50+I50)*J86-J50,IF(E50+I50&lt;=$K$63,(E50+I50)*J87-J50,IF(E50+I50&lt;=$K$64,(E50+I50)*L88-J50,513.0125)))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51" t="n"/>
      <c r="AA50" s="49">
        <f>SUM(M50:Z50)</f>
        <v/>
      </c>
      <c r="AB50" s="13" t="n"/>
      <c r="AC50" s="13" t="n"/>
      <c r="AD50" s="13" t="n"/>
    </row>
    <row r="51" ht="21" customHeight="1">
      <c r="A51" s="46" t="inlineStr">
        <is>
          <t>FRANCA</t>
        </is>
      </c>
      <c r="B51" s="15" t="n"/>
      <c r="C51" s="90">
        <f>AA51</f>
        <v/>
      </c>
      <c r="D51" s="90">
        <f>C51*0.1818</f>
        <v/>
      </c>
      <c r="E51" s="90">
        <f>SUM(C51:D51)</f>
        <v/>
      </c>
      <c r="F51" s="90">
        <f>E51*0.1111</f>
        <v/>
      </c>
      <c r="G51" s="90">
        <f>E51*0.083</f>
        <v/>
      </c>
      <c r="H51" s="90">
        <f>SUM(E51:G51)*0.08</f>
        <v/>
      </c>
      <c r="I51" s="88">
        <f>AA20</f>
        <v/>
      </c>
      <c r="J51" s="88">
        <f>IF(I20=0,0,VLOOKUP(B51,$B$6:$I$25,8,0))</f>
        <v/>
      </c>
      <c r="K51" s="89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51" t="n"/>
      <c r="AA51" s="49">
        <f>SUM(M51:Z51)</f>
        <v/>
      </c>
      <c r="AB51" s="13" t="n"/>
      <c r="AC51" s="13" t="n"/>
      <c r="AD51" s="13" t="n"/>
    </row>
    <row r="52" ht="21" customHeight="1">
      <c r="A52" s="46" t="inlineStr">
        <is>
          <t>FRANCA</t>
        </is>
      </c>
      <c r="B52" s="22" t="n"/>
      <c r="C52" s="90">
        <f>AA52</f>
        <v/>
      </c>
      <c r="D52" s="90">
        <f>C52*0.1818</f>
        <v/>
      </c>
      <c r="E52" s="90">
        <f>SUM(C52:D52)</f>
        <v/>
      </c>
      <c r="F52" s="90">
        <f>E52*0.1111</f>
        <v/>
      </c>
      <c r="G52" s="90">
        <f>E52*0.083</f>
        <v/>
      </c>
      <c r="H52" s="90">
        <f>SUM(E52:G52)*0.08</f>
        <v/>
      </c>
      <c r="I52" s="88">
        <f>AA21</f>
        <v/>
      </c>
      <c r="J52" s="88">
        <f>IF(I21=0,0,VLOOKUP(B52,$B$6:$I$25,8,0))</f>
        <v/>
      </c>
      <c r="K52" s="89">
        <f>IF(E52+I52&lt;=$K$62,(E52+I52)*J88-J52,IF(E52+I52&lt;=$K$63,(E52+I52)*J89-J52,IF(E52+I52&lt;=$K$64,(E52+I52)*L90-J52,513.0125)))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51" t="n"/>
      <c r="AA52" s="49">
        <f>SUM(M52:Z52)</f>
        <v/>
      </c>
      <c r="AB52" s="13" t="n"/>
      <c r="AC52" s="13" t="n"/>
      <c r="AD52" s="13" t="n"/>
    </row>
    <row r="53" ht="21" customHeight="1">
      <c r="A53" s="46" t="inlineStr">
        <is>
          <t>FRANCA</t>
        </is>
      </c>
      <c r="B53" s="22" t="n"/>
      <c r="C53" s="90">
        <f>AA53</f>
        <v/>
      </c>
      <c r="D53" s="90">
        <f>C53*0.1818</f>
        <v/>
      </c>
      <c r="E53" s="90">
        <f>SUM(C53:D53)</f>
        <v/>
      </c>
      <c r="F53" s="90">
        <f>E53*0.1111</f>
        <v/>
      </c>
      <c r="G53" s="90">
        <f>E53*0.083</f>
        <v/>
      </c>
      <c r="H53" s="90">
        <f>SUM(E53:G53)*0.08</f>
        <v/>
      </c>
      <c r="I53" s="88">
        <f>AA22</f>
        <v/>
      </c>
      <c r="J53" s="88">
        <f>IF(I22=0,0,VLOOKUP(B53,$B$6:$I$25,8,0))</f>
        <v/>
      </c>
      <c r="K53" s="89">
        <f>IF(E53+I53&lt;=$K$62,(E53+I53)*J89-J53,IF(E53+I53&lt;=$K$63,(E53+I53)*J90-J53,IF(E53+I53&lt;=$K$64,(E53+I53)*L91-J53,513.0125)))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51" t="n"/>
      <c r="Z53" s="51" t="n"/>
      <c r="AA53" s="49">
        <f>SUM(M53:Z53)</f>
        <v/>
      </c>
      <c r="AB53" s="13" t="n"/>
      <c r="AC53" s="13" t="n"/>
      <c r="AD53" s="13" t="n"/>
    </row>
    <row r="54" ht="21" customHeight="1">
      <c r="A54" s="46" t="inlineStr">
        <is>
          <t>FRANCA</t>
        </is>
      </c>
      <c r="B54" s="15" t="n"/>
      <c r="C54" s="90">
        <f>AA54</f>
        <v/>
      </c>
      <c r="D54" s="90">
        <f>C54*0.1818</f>
        <v/>
      </c>
      <c r="E54" s="90">
        <f>SUM(C54:D54)</f>
        <v/>
      </c>
      <c r="F54" s="90">
        <f>E54*0.1111</f>
        <v/>
      </c>
      <c r="G54" s="90">
        <f>E54*0.083</f>
        <v/>
      </c>
      <c r="H54" s="90">
        <f>SUM(E54:G54)*0.08</f>
        <v/>
      </c>
      <c r="I54" s="88">
        <f>AA23</f>
        <v/>
      </c>
      <c r="J54" s="88">
        <f>IF(I23=0,0,VLOOKUP(B54,$B$6:$I$25,8,0))</f>
        <v/>
      </c>
      <c r="K54" s="89">
        <f>IF(E54+I54&lt;=$K$62,(E54+I54)*J90-J54,IF(E54+I54&lt;=$K$63,(E54+I54)*J91-J54,IF(E54+I54&lt;=$K$64,(E54+I54)*L92-J54,513.0125)))</f>
        <v/>
      </c>
      <c r="L54" s="9" t="n"/>
      <c r="M54" s="17" t="n"/>
      <c r="N54" s="52" t="n"/>
      <c r="O54" s="52" t="n"/>
      <c r="P54" s="17" t="n"/>
      <c r="Q54" s="52" t="n"/>
      <c r="R54" s="17" t="n"/>
      <c r="S54" s="52" t="n"/>
      <c r="T54" s="17" t="n"/>
      <c r="U54" s="17" t="n"/>
      <c r="V54" s="52" t="n"/>
      <c r="W54" s="51" t="n"/>
      <c r="X54" s="51" t="n"/>
      <c r="Y54" s="51" t="n"/>
      <c r="Z54" s="51" t="n"/>
      <c r="AA54" s="49">
        <f>SUM(M54:Z54)</f>
        <v/>
      </c>
      <c r="AB54" s="13" t="n"/>
      <c r="AC54" s="13" t="n"/>
      <c r="AD54" s="13" t="n"/>
    </row>
    <row r="55" ht="21" customHeight="1">
      <c r="A55" s="46" t="inlineStr">
        <is>
          <t>FRANCA</t>
        </is>
      </c>
      <c r="B55" s="15" t="n"/>
      <c r="C55" s="90">
        <f>AA55</f>
        <v/>
      </c>
      <c r="D55" s="90">
        <f>C55*0.1818</f>
        <v/>
      </c>
      <c r="E55" s="90">
        <f>SUM(C55:D55)</f>
        <v/>
      </c>
      <c r="F55" s="90">
        <f>E55*0.1111</f>
        <v/>
      </c>
      <c r="G55" s="90">
        <f>E55*0.083</f>
        <v/>
      </c>
      <c r="H55" s="90">
        <f>SUM(E55:G55)*0.08</f>
        <v/>
      </c>
      <c r="I55" s="88">
        <f>AA24</f>
        <v/>
      </c>
      <c r="J55" s="88">
        <f>IF(I24=0,0,VLOOKUP(B55,$B$6:$I$25,8,0))</f>
        <v/>
      </c>
      <c r="K55" s="89">
        <f>IF(E55+I55&lt;=$K$62,(E55+I55)*J91-J55,IF(E55+I55&lt;=$K$63,(E55+I55)*J92-J55,IF(E55+I55&lt;=$K$64,(E55+I55)*L93-J55,513.0125)))</f>
        <v/>
      </c>
      <c r="L55" s="9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1" t="n"/>
      <c r="X55" s="51" t="n"/>
      <c r="Y55" s="51" t="n"/>
      <c r="Z55" s="51" t="n"/>
      <c r="AA55" s="49">
        <f>SUM(M55:Z55)</f>
        <v/>
      </c>
      <c r="AB55" s="13" t="n"/>
      <c r="AC55" s="13" t="n"/>
      <c r="AD55" s="13" t="n"/>
    </row>
    <row r="56" ht="21.6" customHeight="1" thickBot="1">
      <c r="A56" s="46" t="inlineStr">
        <is>
          <t>FRANCA</t>
        </is>
      </c>
      <c r="B56" s="53" t="n"/>
      <c r="C56" s="92">
        <f>AA56</f>
        <v/>
      </c>
      <c r="D56" s="92">
        <f>C56*0.1818</f>
        <v/>
      </c>
      <c r="E56" s="92">
        <f>SUM(C56:D56)</f>
        <v/>
      </c>
      <c r="F56" s="92">
        <f>E56*0.1111</f>
        <v/>
      </c>
      <c r="G56" s="92">
        <f>E56*0.083</f>
        <v/>
      </c>
      <c r="H56" s="92">
        <f>SUM(E56:G56)*0.08</f>
        <v/>
      </c>
      <c r="I56" s="93">
        <f>AA25</f>
        <v/>
      </c>
      <c r="J56" s="93">
        <f>IF(I25=0,0,VLOOKUP(B56,$B$6:$I$25,8,0))</f>
        <v/>
      </c>
      <c r="K56" s="94">
        <f>IF(E56+I56&lt;=$K$62,(E56+I56)*J92-J56,IF(E56+I56&lt;=$K$63,(E56+I56)*J93-J56,IF(E56+I56&lt;=$K$64,(E56+I56)*L94-J56,513.0125)))</f>
        <v/>
      </c>
      <c r="L56" s="9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49">
        <f>SUM(M56:Z56)</f>
        <v/>
      </c>
      <c r="AB56" s="13" t="n"/>
      <c r="AC56" s="13" t="n"/>
      <c r="AD56" s="13" t="n"/>
    </row>
    <row r="57" ht="21" customHeight="1" thickBo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28" t="n"/>
      <c r="N57" s="28">
        <f>COUNT(#REF!)</f>
        <v/>
      </c>
      <c r="O57" s="28">
        <f>COUNT(#REF!)</f>
        <v/>
      </c>
      <c r="P57" s="28" t="n">
        <v>29</v>
      </c>
      <c r="Q57" s="28">
        <f>COUNT(#REF!)</f>
        <v/>
      </c>
      <c r="R57" s="28">
        <f>COUNT(#REF!)</f>
        <v/>
      </c>
      <c r="S57" s="28">
        <f>COUNT(#REF!)</f>
        <v/>
      </c>
      <c r="T57" s="28" t="n"/>
      <c r="U57" s="28">
        <f>COUNT(#REF!)</f>
        <v/>
      </c>
      <c r="V57" s="28">
        <f>COUNT(#REF!)</f>
        <v/>
      </c>
      <c r="W57" s="28" t="n"/>
      <c r="X57" s="28" t="n"/>
      <c r="Y57" s="28" t="n"/>
      <c r="Z57" s="28" t="n"/>
      <c r="AA57" s="28" t="n"/>
      <c r="AB57" s="10" t="n"/>
      <c r="AC57" s="13" t="n"/>
      <c r="AD57" s="13" t="n"/>
    </row>
    <row r="58" ht="21" customHeight="1">
      <c r="L58" s="10" t="n"/>
      <c r="M58" s="29" t="inlineStr">
        <is>
          <t>TOTAL GERAL / BOLETIM ENSACADORES:</t>
        </is>
      </c>
      <c r="N58" s="30" t="n"/>
      <c r="O58" s="30" t="n"/>
      <c r="P58" s="30" t="n"/>
      <c r="Q58" s="30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2" t="inlineStr">
        <is>
          <t>TOTAL:</t>
        </is>
      </c>
      <c r="AC58" s="13" t="n"/>
      <c r="AD58" s="13" t="n"/>
    </row>
    <row r="59" ht="21" customHeight="1">
      <c r="L59" s="10" t="n"/>
      <c r="M59" s="33">
        <f>SUM(M35:M56)</f>
        <v/>
      </c>
      <c r="N59" s="33">
        <f>SUM(N35:N56)</f>
        <v/>
      </c>
      <c r="O59" s="33">
        <f>SUM(O35:O47)</f>
        <v/>
      </c>
      <c r="P59" s="33">
        <f>SUM(P35:P56)</f>
        <v/>
      </c>
      <c r="Q59" s="33">
        <f>SUM(Q35:Q55)</f>
        <v/>
      </c>
      <c r="R59" s="33">
        <f>SUM(R35:R56)</f>
        <v/>
      </c>
      <c r="S59" s="33">
        <f>SUM(S35:S56)</f>
        <v/>
      </c>
      <c r="T59" s="33">
        <f>SUM(T35:T56)</f>
        <v/>
      </c>
      <c r="U59" s="33">
        <f>SUM(U35:U56)</f>
        <v/>
      </c>
      <c r="V59" s="33">
        <f>SUM(V35:V56)</f>
        <v/>
      </c>
      <c r="W59" s="33">
        <f>SUM(W35:W56)</f>
        <v/>
      </c>
      <c r="X59" s="33">
        <f>SUM(X35:X56)</f>
        <v/>
      </c>
      <c r="Y59" s="33">
        <f>SUM(Y35:Y56)</f>
        <v/>
      </c>
      <c r="Z59" s="33">
        <f>SUM(Z35:Z56)</f>
        <v/>
      </c>
      <c r="AA59" s="34" t="n"/>
      <c r="AB59" s="35">
        <f>SUM(M59:Z59)</f>
        <v/>
      </c>
      <c r="AC59" s="13" t="n"/>
      <c r="AD59" s="13" t="n"/>
    </row>
    <row r="60">
      <c r="AC60" s="13" t="n"/>
      <c r="AD60" s="13" t="n"/>
    </row>
    <row r="61" ht="15" customHeight="1" thickBot="1">
      <c r="AC61" s="13" t="n"/>
      <c r="AD61" s="13" t="n"/>
    </row>
    <row r="62" ht="21.6" customHeight="1" thickBot="1">
      <c r="A62" s="64" t="inlineStr">
        <is>
          <t>MÉDIA DIARIA CHAPAS</t>
        </is>
      </c>
      <c r="B62" s="108" t="n"/>
      <c r="C62" s="37" t="n">
        <v>10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13" t="n"/>
      <c r="AD62" s="13" t="n"/>
    </row>
    <row r="63" ht="20.4" customHeight="1"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3" t="n"/>
      <c r="AD63" s="13" t="n"/>
    </row>
    <row r="64" ht="21" customHeight="1">
      <c r="A64" s="95" t="n"/>
      <c r="B64" s="10" t="n"/>
      <c r="C64" s="5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3" t="n"/>
      <c r="AD64" s="13" t="n"/>
    </row>
    <row r="65" ht="25.8" customHeight="1">
      <c r="A65" s="96" t="n"/>
      <c r="B65" s="97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98" t="n"/>
      <c r="AD65" s="98" t="n"/>
    </row>
  </sheetData>
  <mergeCells count="8">
    <mergeCell ref="A62:B62"/>
    <mergeCell ref="M33:AB33"/>
    <mergeCell ref="A2:H2"/>
    <mergeCell ref="A33:K33"/>
    <mergeCell ref="A3:I3"/>
    <mergeCell ref="M4:AA4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4"/>
  <sheetViews>
    <sheetView zoomScale="55" zoomScaleNormal="55" workbookViewId="0">
      <selection activeCell="I64" sqref="I64"/>
    </sheetView>
  </sheetViews>
  <sheetFormatPr baseColWidth="8" defaultRowHeight="14.4"/>
  <cols>
    <col width="36.33203125" bestFit="1" customWidth="1" min="1" max="1"/>
    <col width="59.33203125" bestFit="1" customWidth="1" min="2" max="2"/>
    <col width="14" bestFit="1" customWidth="1" min="3" max="3"/>
    <col width="11.33203125" bestFit="1" customWidth="1" min="4" max="4"/>
    <col width="14" bestFit="1" customWidth="1" min="5" max="5"/>
    <col width="12.33203125" bestFit="1" customWidth="1" min="6" max="6"/>
    <col width="20.33203125" bestFit="1" customWidth="1" min="7" max="7"/>
    <col width="11.33203125" bestFit="1" customWidth="1" min="8" max="8"/>
    <col width="13" bestFit="1" customWidth="1" min="9" max="9"/>
    <col width="10.44140625" bestFit="1" customWidth="1" min="10" max="11"/>
    <col width="66.21875" bestFit="1" customWidth="1" min="13" max="13"/>
    <col width="11.33203125" bestFit="1" customWidth="1" min="14" max="15"/>
    <col width="14" bestFit="1" customWidth="1" min="16" max="16"/>
    <col width="11.33203125" bestFit="1" customWidth="1" min="17" max="18"/>
    <col width="14" bestFit="1" customWidth="1" min="19" max="20"/>
    <col width="11.33203125" bestFit="1" customWidth="1" min="21" max="25"/>
    <col width="8" bestFit="1" customWidth="1" min="26" max="26"/>
    <col width="13" bestFit="1" customWidth="1" min="27" max="27"/>
    <col width="15.6640625" bestFit="1" customWidth="1" min="28" max="28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45901</v>
      </c>
      <c r="N5" s="11" t="n">
        <v>45902</v>
      </c>
      <c r="O5" s="11" t="n">
        <v>45903</v>
      </c>
      <c r="P5" s="11" t="n">
        <v>45904</v>
      </c>
      <c r="Q5" s="11" t="n">
        <v>45905</v>
      </c>
      <c r="R5" s="11" t="n">
        <v>45906</v>
      </c>
      <c r="S5" s="11" t="n">
        <v>45908</v>
      </c>
      <c r="T5" s="11" t="n">
        <v>45909</v>
      </c>
      <c r="U5" s="11" t="n">
        <v>45910</v>
      </c>
      <c r="V5" s="11" t="n">
        <v>45911</v>
      </c>
      <c r="W5" s="11" t="n">
        <v>45912</v>
      </c>
      <c r="X5" s="11" t="n">
        <v>45913</v>
      </c>
      <c r="Y5" s="11" t="n">
        <v>45915</v>
      </c>
      <c r="Z5" s="11" t="n"/>
      <c r="AA5" s="12" t="inlineStr">
        <is>
          <t>TOTAL</t>
        </is>
      </c>
      <c r="AB5" s="13" t="n"/>
    </row>
    <row r="6" ht="21" customHeight="1">
      <c r="A6" s="14" t="inlineStr">
        <is>
          <t>FRANCA</t>
        </is>
      </c>
      <c r="B6" s="22" t="inlineStr">
        <is>
          <t>CHAPA_06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IF(E6&lt;=$F$69,E6*$G$69,IF(E6&lt;=$F$70,E6*$G$70,IF(E6&lt;=$F$71,E6*$G$71,513.0125)))</f>
        <v/>
      </c>
      <c r="J6" s="9" t="n"/>
      <c r="K6" s="10" t="n"/>
      <c r="L6" s="10" t="n"/>
      <c r="M6" s="17" t="n">
        <v>95.81999999999999</v>
      </c>
      <c r="N6" s="17" t="n">
        <v>78.88</v>
      </c>
      <c r="O6" s="17" t="n">
        <v>112.58</v>
      </c>
      <c r="P6" s="17" t="n">
        <v>149.91</v>
      </c>
      <c r="Q6" s="17" t="n">
        <v>149.91</v>
      </c>
      <c r="R6" s="17" t="n">
        <v>0</v>
      </c>
      <c r="S6" s="17" t="n">
        <v>99.19</v>
      </c>
      <c r="T6" s="17" t="n">
        <v>0</v>
      </c>
      <c r="U6" s="17" t="n">
        <v>118.37</v>
      </c>
      <c r="V6" s="17" t="n">
        <v>99.19</v>
      </c>
      <c r="W6" s="17" t="n">
        <v>99.19</v>
      </c>
      <c r="X6" s="17" t="n">
        <v>45.08</v>
      </c>
      <c r="Y6" s="17" t="n">
        <v>99.19</v>
      </c>
      <c r="Z6" s="17" t="n"/>
      <c r="AA6" s="18">
        <f>SUM(M6:Z6)</f>
        <v/>
      </c>
      <c r="AB6" s="13" t="n"/>
    </row>
    <row r="7" ht="21" customHeight="1">
      <c r="A7" s="14" t="inlineStr">
        <is>
          <t>FRANCA</t>
        </is>
      </c>
      <c r="B7" s="24" t="inlineStr">
        <is>
          <t>CHAPA_15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IF(E7&lt;=$F$69,E7*$G$69,IF(E7&lt;=$F$70,E7*$G$70,IF(E7&lt;=$F$71,E7*$G$71,513.0125)))</f>
        <v/>
      </c>
      <c r="J7" s="9" t="n"/>
      <c r="K7" s="20" t="n"/>
      <c r="L7" s="10" t="n"/>
      <c r="M7" s="17" t="n">
        <v>0</v>
      </c>
      <c r="N7" s="17" t="n">
        <v>99.19</v>
      </c>
      <c r="O7" s="17" t="n">
        <v>112.58</v>
      </c>
      <c r="P7" s="17" t="n">
        <v>99.19</v>
      </c>
      <c r="Q7" s="17" t="n">
        <v>78.89</v>
      </c>
      <c r="R7" s="17" t="n">
        <v>45.08</v>
      </c>
      <c r="S7" s="17" t="n">
        <v>99.19</v>
      </c>
      <c r="T7" s="17" t="n">
        <v>45.07</v>
      </c>
      <c r="U7" s="17" t="n">
        <v>118.37</v>
      </c>
      <c r="V7" s="17" t="n">
        <v>99.19</v>
      </c>
      <c r="W7" s="17" t="n">
        <v>78.89</v>
      </c>
      <c r="X7" s="17" t="n">
        <v>0</v>
      </c>
      <c r="Y7" s="17" t="n">
        <v>99.19</v>
      </c>
      <c r="Z7" s="17" t="n"/>
      <c r="AA7" s="18">
        <f>SUM(M7:Z7)</f>
        <v/>
      </c>
      <c r="AB7" s="13" t="n"/>
    </row>
    <row r="8" ht="21" customHeight="1">
      <c r="A8" s="14" t="inlineStr">
        <is>
          <t>FRANCA</t>
        </is>
      </c>
      <c r="B8" s="15" t="inlineStr">
        <is>
          <t>CHAPA_20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IF(E8&lt;=$F$69,E8*$G$69,IF(E8&lt;=$F$70,E8*$G$70,IF(E8&lt;=$F$71,E8*$G$71,513.0125)))</f>
        <v/>
      </c>
      <c r="J8" s="9" t="n"/>
      <c r="K8" s="10" t="n"/>
      <c r="L8" s="10" t="n"/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99.19</v>
      </c>
      <c r="T8" s="17" t="n">
        <v>99.19</v>
      </c>
      <c r="U8" s="17" t="n">
        <v>118.37</v>
      </c>
      <c r="V8" s="17" t="n">
        <v>99.19</v>
      </c>
      <c r="W8" s="17" t="n">
        <v>99.19</v>
      </c>
      <c r="X8" s="17" t="n">
        <v>45.09</v>
      </c>
      <c r="Y8" s="17" t="n">
        <v>99.19</v>
      </c>
      <c r="Z8" s="17" t="n"/>
      <c r="AA8" s="18">
        <f>SUM(M8:Z8)</f>
        <v/>
      </c>
      <c r="AB8" s="13" t="n"/>
    </row>
    <row r="9" ht="21" customHeight="1">
      <c r="A9" s="14" t="inlineStr">
        <is>
          <t>FRANCA</t>
        </is>
      </c>
      <c r="B9" s="15" t="inlineStr">
        <is>
          <t>CHAPA_38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IF(E9&lt;=$F$69,E9*$G$69,IF(E9&lt;=$F$70,E9*$G$70,IF(E9&lt;=$F$71,E9*$G$71,513.0125)))</f>
        <v/>
      </c>
      <c r="J9" s="9" t="n"/>
      <c r="K9" s="10" t="n"/>
      <c r="L9" s="10" t="n"/>
      <c r="M9" s="17" t="n">
        <v>149.91</v>
      </c>
      <c r="N9" s="17" t="n">
        <v>99.19</v>
      </c>
      <c r="O9" s="17" t="n">
        <v>112.58</v>
      </c>
      <c r="P9" s="17" t="n">
        <v>149.91</v>
      </c>
      <c r="Q9" s="17" t="n">
        <v>149.91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/>
      <c r="AA9" s="18">
        <f>SUM(M9:Z9)</f>
        <v/>
      </c>
      <c r="AB9" s="13" t="n"/>
    </row>
    <row r="10" ht="21" customHeight="1">
      <c r="A10" s="14" t="inlineStr">
        <is>
          <t>FRANCA</t>
        </is>
      </c>
      <c r="B10" s="15" t="inlineStr">
        <is>
          <t>CHAPA_40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IF(E10&lt;=$F$69,E10*$G$69,IF(E10&lt;=$F$70,E10*$G$70,IF(E10&lt;=$F$71,E10*$G$71,513.0125)))</f>
        <v/>
      </c>
      <c r="J10" s="9" t="n"/>
      <c r="K10" s="10" t="n"/>
      <c r="L10" s="10" t="n"/>
      <c r="M10" s="17" t="n">
        <v>99.19</v>
      </c>
      <c r="N10" s="17" t="n">
        <v>99.19</v>
      </c>
      <c r="O10" s="17" t="n">
        <v>103.56</v>
      </c>
      <c r="P10" s="17" t="n">
        <v>99.19</v>
      </c>
      <c r="Q10" s="17" t="n">
        <v>99.19</v>
      </c>
      <c r="R10" s="17" t="n">
        <v>45.09</v>
      </c>
      <c r="S10" s="17" t="n">
        <v>45.07</v>
      </c>
      <c r="T10" s="17" t="n">
        <v>61.98</v>
      </c>
      <c r="U10" s="17" t="n">
        <v>118.37</v>
      </c>
      <c r="V10" s="17" t="n">
        <v>99.19</v>
      </c>
      <c r="W10" s="17" t="n">
        <v>99.19</v>
      </c>
      <c r="X10" s="17" t="n">
        <v>0</v>
      </c>
      <c r="Y10" s="17" t="n">
        <v>99.19</v>
      </c>
      <c r="Z10" s="17" t="n"/>
      <c r="AA10" s="18">
        <f>SUM(M10:Z10)</f>
        <v/>
      </c>
      <c r="AB10" s="13" t="n"/>
    </row>
    <row r="11" ht="21" customHeight="1">
      <c r="A11" s="14" t="inlineStr">
        <is>
          <t>FRANCA</t>
        </is>
      </c>
      <c r="B11" s="15" t="inlineStr">
        <is>
          <t>CHAPA_41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IF(E11&lt;=$F$69,E11*$G$69,IF(E11&lt;=$F$70,E11*$G$70,IF(E11&lt;=$F$71,E11*$G$71,513.0125)))</f>
        <v/>
      </c>
      <c r="J11" s="9" t="n"/>
      <c r="K11" s="10" t="n"/>
      <c r="L11" s="10" t="n"/>
      <c r="M11" s="17" t="n">
        <v>107.62</v>
      </c>
      <c r="N11" s="17" t="n">
        <v>99.19</v>
      </c>
      <c r="O11" s="17" t="n">
        <v>112.58</v>
      </c>
      <c r="P11" s="17" t="n">
        <v>99.19</v>
      </c>
      <c r="Q11" s="17" t="n">
        <v>99.19</v>
      </c>
      <c r="R11" s="17" t="n">
        <v>45.09</v>
      </c>
      <c r="S11" s="17" t="n">
        <v>56.34</v>
      </c>
      <c r="T11" s="17" t="n">
        <v>99.19</v>
      </c>
      <c r="U11" s="17" t="n">
        <v>118.38</v>
      </c>
      <c r="V11" s="17" t="n">
        <v>99.19</v>
      </c>
      <c r="W11" s="17" t="n">
        <v>99.19</v>
      </c>
      <c r="X11" s="17" t="n">
        <v>45.09</v>
      </c>
      <c r="Y11" s="17" t="n">
        <v>0</v>
      </c>
      <c r="Z11" s="17" t="n"/>
      <c r="AA11" s="18">
        <f>SUM(M11:Z11)</f>
        <v/>
      </c>
      <c r="AB11" s="13" t="n"/>
    </row>
    <row r="12" ht="21" customHeight="1">
      <c r="A12" s="14" t="inlineStr">
        <is>
          <t>FRANCA</t>
        </is>
      </c>
      <c r="B12" s="15" t="inlineStr">
        <is>
          <t>CHAPA_43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IF(E12&lt;=$F$69,E12*$G$69,IF(E12&lt;=$F$70,E12*$G$70,IF(E12&lt;=$F$71,E12*$G$71,513.0125)))</f>
        <v/>
      </c>
      <c r="J12" s="9" t="n"/>
      <c r="K12" s="10" t="n"/>
      <c r="L12" s="10" t="n"/>
      <c r="M12" s="17" t="n">
        <v>45.07</v>
      </c>
      <c r="N12" s="17" t="n">
        <v>99.19</v>
      </c>
      <c r="O12" s="17" t="n">
        <v>112.58</v>
      </c>
      <c r="P12" s="17" t="n">
        <v>99.20999999999999</v>
      </c>
      <c r="Q12" s="17" t="n">
        <v>99.19</v>
      </c>
      <c r="R12" s="17" t="n">
        <v>0</v>
      </c>
      <c r="S12" s="17" t="n">
        <v>78.88</v>
      </c>
      <c r="T12" s="17" t="n">
        <v>99.19</v>
      </c>
      <c r="U12" s="17" t="n">
        <v>118.39</v>
      </c>
      <c r="V12" s="17" t="n">
        <v>99.19</v>
      </c>
      <c r="W12" s="17" t="n">
        <v>45.07</v>
      </c>
      <c r="X12" s="17" t="n">
        <v>0</v>
      </c>
      <c r="Y12" s="17" t="n">
        <v>99.19</v>
      </c>
      <c r="Z12" s="17" t="n"/>
      <c r="AA12" s="18">
        <f>SUM(M12:Z12)</f>
        <v/>
      </c>
      <c r="AB12" s="13" t="n"/>
    </row>
    <row r="13" ht="21" customHeight="1">
      <c r="A13" s="14" t="inlineStr">
        <is>
          <t>FRANCA</t>
        </is>
      </c>
      <c r="B13" s="15" t="inlineStr">
        <is>
          <t>CHAPA_05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IF(E13&lt;=$F$69,E13*$G$69,IF(E13&lt;=$F$70,E13*$G$70,IF(E13&lt;=$F$71,E13*$G$71,513.0125)))</f>
        <v/>
      </c>
      <c r="J13" s="9" t="n"/>
      <c r="K13" s="10" t="n"/>
      <c r="L13" s="10" t="n"/>
      <c r="M13" s="17" t="n">
        <v>99.23</v>
      </c>
      <c r="N13" s="17" t="n">
        <v>99.19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/>
      <c r="AA13" s="18">
        <f>SUM(M13:Z13)</f>
        <v/>
      </c>
      <c r="AB13" s="13" t="n"/>
    </row>
    <row r="14" ht="21" customHeight="1">
      <c r="A14" s="14" t="inlineStr">
        <is>
          <t>FRANCA</t>
        </is>
      </c>
      <c r="B14" s="22" t="inlineStr">
        <is>
          <t>CHAPA_02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IF(E14&lt;=$F$69,E14*$G$69,IF(E14&lt;=$F$70,E14*$G$70,IF(E14&lt;=$F$71,E14*$G$71,513.0125)))</f>
        <v/>
      </c>
      <c r="J14" s="9" t="n"/>
      <c r="K14" s="10" t="n"/>
      <c r="L14" s="10" t="n"/>
      <c r="M14" s="17" t="n">
        <v>87.34999999999999</v>
      </c>
      <c r="N14" s="17" t="n">
        <v>99.19</v>
      </c>
      <c r="O14" s="17" t="n">
        <v>0</v>
      </c>
      <c r="P14" s="17" t="n">
        <v>141.45</v>
      </c>
      <c r="Q14" s="17" t="n">
        <v>67.63</v>
      </c>
      <c r="R14" s="17" t="n">
        <v>45.09</v>
      </c>
      <c r="S14" s="17" t="n">
        <v>99.2</v>
      </c>
      <c r="T14" s="17" t="n">
        <v>0</v>
      </c>
      <c r="U14" s="17" t="n">
        <v>45.09</v>
      </c>
      <c r="V14" s="17" t="n">
        <v>0</v>
      </c>
      <c r="W14" s="17" t="n">
        <v>99.19</v>
      </c>
      <c r="X14" s="17" t="n">
        <v>0</v>
      </c>
      <c r="Y14" s="17" t="n">
        <v>99.19</v>
      </c>
      <c r="Z14" s="17" t="n"/>
      <c r="AA14" s="18">
        <f>SUM(M14:Z14)</f>
        <v/>
      </c>
      <c r="AB14" s="13" t="n"/>
    </row>
    <row r="15" ht="21" customHeight="1">
      <c r="A15" s="14" t="inlineStr">
        <is>
          <t>FRANCA</t>
        </is>
      </c>
      <c r="B15" s="22" t="inlineStr">
        <is>
          <t>CHAPA_28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IF(E15&lt;=$F$69,E15*$G$69,IF(E15&lt;=$F$70,E15*$G$70,IF(E15&lt;=$F$71,E15*$G$71,513.0125)))</f>
        <v/>
      </c>
      <c r="J15" s="9" t="n"/>
      <c r="K15" s="10" t="n"/>
      <c r="L15" s="10" t="n"/>
      <c r="M15" s="17" t="n">
        <v>0</v>
      </c>
      <c r="N15" s="17" t="n">
        <v>99.2</v>
      </c>
      <c r="O15" s="17" t="n">
        <v>99.19</v>
      </c>
      <c r="P15" s="17" t="n">
        <v>99.2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/>
      <c r="AA15" s="18">
        <f>SUM(M15:Z15)</f>
        <v/>
      </c>
      <c r="AB15" s="13" t="n"/>
    </row>
    <row r="16" ht="21" customHeight="1">
      <c r="A16" s="14" t="inlineStr">
        <is>
          <t>FRANCA</t>
        </is>
      </c>
      <c r="B16" s="22" t="inlineStr">
        <is>
          <t>CHAPA_09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IF(E16&lt;=$F$69,E16*$G$69,IF(E16&lt;=$F$70,E16*$G$70,IF(E16&lt;=$F$71,E16*$G$71,513.0125)))</f>
        <v/>
      </c>
      <c r="J16" s="9" t="n"/>
      <c r="K16" s="10" t="n"/>
      <c r="L16" s="10" t="n"/>
      <c r="M16" s="17" t="n">
        <v>149.91</v>
      </c>
      <c r="N16" s="17" t="n">
        <v>99.20999999999999</v>
      </c>
      <c r="O16" s="17" t="n">
        <v>112.59</v>
      </c>
      <c r="P16" s="17" t="n">
        <v>149.91</v>
      </c>
      <c r="Q16" s="17" t="n">
        <v>149.93</v>
      </c>
      <c r="R16" s="17" t="n">
        <v>0</v>
      </c>
      <c r="S16" s="17" t="n">
        <v>99.20999999999999</v>
      </c>
      <c r="T16" s="17" t="n">
        <v>99.22</v>
      </c>
      <c r="U16" s="17" t="n">
        <v>0</v>
      </c>
      <c r="V16" s="17" t="n">
        <v>99.19</v>
      </c>
      <c r="W16" s="17" t="n">
        <v>99.20999999999999</v>
      </c>
      <c r="X16" s="17" t="n">
        <v>0</v>
      </c>
      <c r="Y16" s="17" t="n">
        <v>99.19</v>
      </c>
      <c r="Z16" s="17" t="n"/>
      <c r="AA16" s="18">
        <f>SUM(M16:Z16)</f>
        <v/>
      </c>
      <c r="AB16" s="13" t="n"/>
    </row>
    <row r="17" ht="21" customHeight="1">
      <c r="A17" s="14" t="inlineStr">
        <is>
          <t>FRANCA</t>
        </is>
      </c>
      <c r="B17" s="15" t="inlineStr">
        <is>
          <t>CHAPA_42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IF(E17&lt;=$F$69,E17*$G$69,IF(E17&lt;=$F$70,E17*$G$70,IF(E17&lt;=$F$71,E17*$G$71,513.0125)))</f>
        <v/>
      </c>
      <c r="J17" s="9" t="n"/>
      <c r="K17" s="10" t="n"/>
      <c r="L17" s="10" t="n"/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99.20999999999999</v>
      </c>
      <c r="W17" s="17" t="n">
        <v>99.20999999999999</v>
      </c>
      <c r="X17" s="17" t="n">
        <v>45.09</v>
      </c>
      <c r="Y17" s="17" t="n">
        <v>99.20999999999999</v>
      </c>
      <c r="Z17" s="17" t="n"/>
      <c r="AA17" s="18">
        <f>SUM(M17:Z17)</f>
        <v/>
      </c>
      <c r="AB17" s="13" t="n"/>
    </row>
    <row r="18" ht="21" customHeight="1">
      <c r="A18" s="14" t="inlineStr">
        <is>
          <t>FRANCA</t>
        </is>
      </c>
      <c r="B18" s="15" t="n"/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IF(E18&lt;=$F$69,E18*$G$69,IF(E18&lt;=$F$70,E18*$G$70,IF(E18&lt;=$F$71,E18*$G$71,513.0125)))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8">
        <f>SUM(M18:Z18)</f>
        <v/>
      </c>
      <c r="AB18" s="13" t="n"/>
    </row>
    <row r="19" ht="21" customHeight="1">
      <c r="A19" s="14" t="inlineStr">
        <is>
          <t>FRANCA</t>
        </is>
      </c>
      <c r="B19" s="22" t="n"/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IF(E19&lt;=$F$69,E19*$G$69,IF(E19&lt;=$F$70,E19*$G$70,IF(E19&lt;=$F$71,E19*$G$71,513.0125)))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8">
        <f>SUM(M19:Z19)</f>
        <v/>
      </c>
      <c r="AB19" s="13" t="n"/>
    </row>
    <row r="20" ht="21" customHeight="1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IF(E20&lt;=$F$69,E20*$G$69,IF(E20&lt;=$F$70,E20*$G$70,IF(E20&lt;=$F$71,E20*$G$71,513.0125)))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</row>
    <row r="21" ht="21" customHeight="1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IF(E21&lt;=$F$69,E21*$G$69,IF(E21&lt;=$F$70,E21*$G$70,IF(E21&lt;=$F$71,E21*$G$71,513.0125)))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</row>
    <row r="22" ht="21" customHeight="1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IF(E22&lt;=$F$69,E22*$G$69,IF(E22&lt;=$F$70,E22*$G$70,IF(E22&lt;=$F$71,E22*$G$71,513.0125)))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</row>
    <row r="23" ht="21" customHeight="1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IF(E23&lt;=$F$69,E23*$G$69,IF(E23&lt;=$F$70,E23*$G$70,IF(E23&lt;=$F$71,E23*$G$71,513.0125)))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</row>
    <row r="24" ht="21" customHeight="1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IF(E24&lt;=$F$69,E24*$G$69,IF(E24&lt;=$F$70,E24*$G$70,IF(E24&lt;=$F$71,E24*$G$71,513.0125)))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</row>
    <row r="25" ht="21.6" customHeight="1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IF(E25&lt;=$F$69,E25*$G$69,IF(E25&lt;=$F$70,E25*$G$70,IF(E25&lt;=$F$71,E25*$G$71,513.0125)))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</row>
    <row r="26" ht="21" customHeight="1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</row>
    <row r="27" ht="21" customHeight="1"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</row>
    <row r="28" ht="21" customHeight="1"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>
        <f>SUM(Z6:Z25)</f>
        <v/>
      </c>
      <c r="AA28" s="34" t="n"/>
      <c r="AB28" s="35">
        <f>SUM(M28:Z28)</f>
        <v/>
      </c>
    </row>
    <row r="29" ht="21" customHeight="1" thickBot="1">
      <c r="J29" s="10" t="n"/>
      <c r="K29" s="10" t="n"/>
      <c r="L29" s="10" t="n"/>
    </row>
    <row r="30" ht="21.6" customHeight="1" thickBot="1">
      <c r="A30" s="36" t="inlineStr">
        <is>
          <t>MÉDIA DIÁRIA CHAPAS</t>
        </is>
      </c>
      <c r="B30" s="36" t="n"/>
      <c r="C30" s="37" t="n">
        <v>10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.4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 ht="21.6" customHeight="1" thickBot="1">
      <c r="A32" s="38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 ht="21" customHeight="1" thickBot="1">
      <c r="A33" s="111" t="inlineStr">
        <is>
          <t>2ª QUINZENA</t>
        </is>
      </c>
      <c r="B33" s="107" t="n"/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8" t="n"/>
      <c r="L33" s="4" t="n"/>
      <c r="M33" s="112" t="inlineStr">
        <is>
          <t xml:space="preserve">TOTAL </t>
        </is>
      </c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10" t="n"/>
    </row>
    <row r="34" ht="42.6" customHeight="1" thickBot="1">
      <c r="A34" s="40" t="inlineStr">
        <is>
          <t>LOCAL</t>
        </is>
      </c>
      <c r="B34" s="40" t="inlineStr">
        <is>
          <t>NOME</t>
        </is>
      </c>
      <c r="C34" s="41" t="inlineStr">
        <is>
          <t>DIÁRIA</t>
        </is>
      </c>
      <c r="D34" s="41" t="inlineStr">
        <is>
          <t>DSR</t>
        </is>
      </c>
      <c r="E34" s="41" t="inlineStr">
        <is>
          <t>TOTAL</t>
        </is>
      </c>
      <c r="F34" s="41" t="inlineStr">
        <is>
          <t>FÉRIAS</t>
        </is>
      </c>
      <c r="G34" s="41" t="inlineStr">
        <is>
          <t>13º SALÁRIO</t>
        </is>
      </c>
      <c r="H34" s="41" t="inlineStr">
        <is>
          <t>FGTS</t>
        </is>
      </c>
      <c r="I34" s="42" t="inlineStr">
        <is>
          <t>T. 1º Q.</t>
        </is>
      </c>
      <c r="J34" s="42" t="inlineStr">
        <is>
          <t>INSS 1º</t>
        </is>
      </c>
      <c r="K34" s="43" t="inlineStr">
        <is>
          <t>INSS</t>
        </is>
      </c>
      <c r="L34" s="9" t="n"/>
      <c r="M34" s="44" t="n">
        <v>45916</v>
      </c>
      <c r="N34" s="44" t="n">
        <v>45917</v>
      </c>
      <c r="O34" s="44" t="n">
        <v>45918</v>
      </c>
      <c r="P34" s="44" t="n">
        <v>45919</v>
      </c>
      <c r="Q34" s="44" t="n">
        <v>45920</v>
      </c>
      <c r="R34" s="44" t="n">
        <v>45922</v>
      </c>
      <c r="S34" s="44" t="n">
        <v>45923</v>
      </c>
      <c r="T34" s="44" t="n">
        <v>45924</v>
      </c>
      <c r="U34" s="44" t="n">
        <v>45925</v>
      </c>
      <c r="V34" s="44" t="n">
        <v>45926</v>
      </c>
      <c r="W34" s="44" t="n">
        <v>45927</v>
      </c>
      <c r="X34" s="44" t="n">
        <v>45929</v>
      </c>
      <c r="Y34" s="44" t="n">
        <v>45930</v>
      </c>
      <c r="Z34" s="45" t="n"/>
      <c r="AA34" s="8" t="inlineStr">
        <is>
          <t>TOTAL</t>
        </is>
      </c>
      <c r="AB34" s="13" t="n"/>
    </row>
    <row r="35" ht="21" customHeight="1">
      <c r="A35" s="46" t="inlineStr">
        <is>
          <t>FRANCA</t>
        </is>
      </c>
      <c r="B35" s="22" t="inlineStr">
        <is>
          <t>CHAPA_02</t>
        </is>
      </c>
      <c r="C35" s="10">
        <f>AA35</f>
        <v/>
      </c>
      <c r="D35" s="10">
        <f>C35*0.1818</f>
        <v/>
      </c>
      <c r="E35" s="10">
        <f>SUM(C35:D35)</f>
        <v/>
      </c>
      <c r="F35" s="10">
        <f>E35*0.1111</f>
        <v/>
      </c>
      <c r="G35" s="10">
        <f>E35*0.083</f>
        <v/>
      </c>
      <c r="H35" s="10">
        <f>SUM(E35:G35)*0.08</f>
        <v/>
      </c>
      <c r="I35" s="10">
        <f>IF(E35&lt;=$F$69,E35*$G$69,IF(E35&lt;=$F$70,E35*$G$70,IF(E35&lt;=$F$71,E35*$G$71,513.0125)))</f>
        <v/>
      </c>
      <c r="J35" s="88">
        <f>IF(I6=0,0,VLOOKUP(B35,$B$6:$I$25,8,0))</f>
        <v/>
      </c>
      <c r="K35" s="89">
        <f>IF(E35+I35&lt;=$K$62,(E35+I35)*J71-J35,IF(E35+I35&lt;=$K$63,(E35+I35)*J72-J35,IF(E35+I35&lt;=$K$64,(E35+I35)*L73-J35,513.0125)))</f>
        <v/>
      </c>
      <c r="L35" s="9" t="n"/>
      <c r="M35" s="17" t="n">
        <v>99.19</v>
      </c>
      <c r="N35" s="17" t="n">
        <v>61.99</v>
      </c>
      <c r="O35" s="17" t="n">
        <v>0</v>
      </c>
      <c r="P35" s="17" t="n">
        <v>99.19</v>
      </c>
      <c r="Q35" s="17" t="n">
        <v>0</v>
      </c>
      <c r="R35" s="17" t="n">
        <v>0</v>
      </c>
      <c r="S35" s="17" t="n">
        <v>143.72</v>
      </c>
      <c r="T35" s="17" t="n">
        <v>114.07</v>
      </c>
      <c r="U35" s="17" t="n">
        <v>0</v>
      </c>
      <c r="V35" s="17" t="n">
        <v>99.19</v>
      </c>
      <c r="W35" s="17" t="n">
        <v>0</v>
      </c>
      <c r="X35" s="17" t="n">
        <v>100.72</v>
      </c>
      <c r="Y35" s="17" t="n">
        <v>45.07</v>
      </c>
      <c r="Z35" s="17" t="n"/>
      <c r="AA35" s="49">
        <f>SUM(M35:Z35)</f>
        <v/>
      </c>
      <c r="AB35" s="13" t="n"/>
    </row>
    <row r="36" ht="21" customHeight="1">
      <c r="A36" s="46" t="inlineStr">
        <is>
          <t>FRANCA</t>
        </is>
      </c>
      <c r="B36" s="22" t="inlineStr">
        <is>
          <t>CHAPA_06</t>
        </is>
      </c>
      <c r="C36" s="10">
        <f>AA36</f>
        <v/>
      </c>
      <c r="D36" s="10">
        <f>C36*0.1818</f>
        <v/>
      </c>
      <c r="E36" s="10">
        <f>SUM(C36:D36)</f>
        <v/>
      </c>
      <c r="F36" s="10">
        <f>E36*0.1111</f>
        <v/>
      </c>
      <c r="G36" s="10">
        <f>E36*0.083</f>
        <v/>
      </c>
      <c r="H36" s="10">
        <f>SUM(E36:G36)*0.08</f>
        <v/>
      </c>
      <c r="I36" s="10">
        <f>IF(E36&lt;=$F$69,E36*$G$69,IF(E36&lt;=$F$70,E36*$G$70,IF(E36&lt;=$F$71,E36*$G$71,513.0125)))</f>
        <v/>
      </c>
      <c r="J36" s="88">
        <f>IF(#REF!=0,0,VLOOKUP(B36,$B$6:$I$25,8,0))</f>
        <v/>
      </c>
      <c r="K36" s="89">
        <f>IF(E36+I36&lt;=$K$62,(E36+I36)*J72-J36,IF(E36+I36&lt;=$K$63,(E36+I36)*J73-J36,IF(E36+I36&lt;=$K$64,(E36+I36)*L74-J36,513.0125)))</f>
        <v/>
      </c>
      <c r="L36" s="9" t="n"/>
      <c r="M36" s="17" t="n">
        <v>99.19</v>
      </c>
      <c r="N36" s="17" t="n">
        <v>0</v>
      </c>
      <c r="O36" s="17" t="n">
        <v>0</v>
      </c>
      <c r="P36" s="17" t="n">
        <v>45.07</v>
      </c>
      <c r="Q36" s="17" t="n">
        <v>0</v>
      </c>
      <c r="R36" s="17" t="n">
        <v>99.19</v>
      </c>
      <c r="S36" s="17" t="n">
        <v>143.72</v>
      </c>
      <c r="T36" s="17" t="n">
        <v>114.07</v>
      </c>
      <c r="U36" s="17" t="n">
        <v>99.19</v>
      </c>
      <c r="V36" s="17" t="n">
        <v>99.19</v>
      </c>
      <c r="W36" s="17" t="n">
        <v>0</v>
      </c>
      <c r="X36" s="17" t="n">
        <v>100.72</v>
      </c>
      <c r="Y36" s="17" t="n">
        <v>99.19</v>
      </c>
      <c r="Z36" s="17" t="n"/>
      <c r="AA36" s="49">
        <f>SUM(M36:Z36)</f>
        <v/>
      </c>
      <c r="AB36" s="13" t="n"/>
    </row>
    <row r="37" ht="21" customHeight="1">
      <c r="A37" s="46" t="inlineStr">
        <is>
          <t>FRANCA</t>
        </is>
      </c>
      <c r="B37" s="22" t="inlineStr">
        <is>
          <t>CHAPA_09</t>
        </is>
      </c>
      <c r="C37" s="10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IF(E37&lt;=$F$69,E37*$G$69,IF(E37&lt;=$F$70,E37*$G$70,IF(E37&lt;=$F$71,E37*$G$71,513.0125)))</f>
        <v/>
      </c>
      <c r="J37" s="88">
        <f>IF(I7=0,0,VLOOKUP(B37,$B$6:$I$25,8,0))</f>
        <v/>
      </c>
      <c r="K37" s="89">
        <f>IF(E37+I37&lt;=$K$62,(E37+I37)*J73-J37,IF(E37+I37&lt;=$K$63,(E37+I37)*J74-J37,IF(E37+I37&lt;=$K$64,(E37+I37)*L75-J37,513.0125)))</f>
        <v/>
      </c>
      <c r="L37" s="9" t="n"/>
      <c r="M37" s="17" t="n">
        <v>99.19</v>
      </c>
      <c r="N37" s="17" t="n">
        <v>99.19</v>
      </c>
      <c r="O37" s="17" t="n">
        <v>99.19</v>
      </c>
      <c r="P37" s="17" t="n">
        <v>99.19</v>
      </c>
      <c r="Q37" s="17" t="n">
        <v>45.09</v>
      </c>
      <c r="R37" s="17" t="n">
        <v>99.19</v>
      </c>
      <c r="S37" s="17" t="n">
        <v>131.68</v>
      </c>
      <c r="T37" s="17" t="n">
        <v>101.98</v>
      </c>
      <c r="U37" s="17" t="n">
        <v>99.19</v>
      </c>
      <c r="V37" s="17" t="n">
        <v>99.19</v>
      </c>
      <c r="W37" s="17" t="n">
        <v>45.09</v>
      </c>
      <c r="X37" s="17" t="n">
        <v>100.72</v>
      </c>
      <c r="Y37" s="17" t="n">
        <v>99.19</v>
      </c>
      <c r="Z37" s="17" t="n"/>
      <c r="AA37" s="49">
        <f>SUM(M37:Z37)</f>
        <v/>
      </c>
      <c r="AB37" s="13" t="n"/>
    </row>
    <row r="38" ht="21" customHeight="1">
      <c r="A38" s="46" t="inlineStr">
        <is>
          <t>FRANCA</t>
        </is>
      </c>
      <c r="B38" s="24" t="inlineStr">
        <is>
          <t>CHAPA_15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IF(E38&lt;=$F$69,E38*$G$69,IF(E38&lt;=$F$70,E38*$G$70,IF(E38&lt;=$F$71,E38*$G$71,513.0125)))</f>
        <v/>
      </c>
      <c r="J38" s="88">
        <f>IF(I8=0,0,VLOOKUP(B38,$B$6:$I$25,8,0))</f>
        <v/>
      </c>
      <c r="K38" s="89">
        <f>IF(E38+I38&lt;=$K$62,(E38+I38)*J74-J38,IF(E38+I38&lt;=$K$63,(E38+I38)*J75-J38,IF(E38+I38&lt;=$K$64,(E38+I38)*L76-J38,513.0125)))</f>
        <v/>
      </c>
      <c r="L38" s="9" t="n"/>
      <c r="M38" s="84" t="n">
        <v>99.19</v>
      </c>
      <c r="N38" s="17" t="n">
        <v>99.19</v>
      </c>
      <c r="O38" s="17" t="n">
        <v>99.19</v>
      </c>
      <c r="P38" s="17" t="n">
        <v>99.19</v>
      </c>
      <c r="Q38" s="17" t="n">
        <v>45.09</v>
      </c>
      <c r="R38" s="17" t="n">
        <v>99.19</v>
      </c>
      <c r="S38" s="17" t="n">
        <v>135.27</v>
      </c>
      <c r="T38" s="17" t="n">
        <v>114.07</v>
      </c>
      <c r="U38" s="17" t="n">
        <v>99.19</v>
      </c>
      <c r="V38" s="17" t="n">
        <v>87.91</v>
      </c>
      <c r="W38" s="17" t="n">
        <v>45.09</v>
      </c>
      <c r="X38" s="17" t="n">
        <v>0</v>
      </c>
      <c r="Y38" s="17" t="n">
        <v>99.19</v>
      </c>
      <c r="Z38" s="17" t="n"/>
      <c r="AA38" s="49">
        <f>SUM(M38:Z38)</f>
        <v/>
      </c>
      <c r="AB38" s="13" t="n"/>
    </row>
    <row r="39" ht="21" customHeight="1">
      <c r="A39" s="46" t="inlineStr">
        <is>
          <t>FRANCA</t>
        </is>
      </c>
      <c r="B39" s="15" t="inlineStr">
        <is>
          <t>CHAPA_20</t>
        </is>
      </c>
      <c r="C39" s="10">
        <f>AA39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IF(E39&lt;=$F$69,E39*$G$69,IF(E39&lt;=$F$70,E39*$G$70,IF(E39&lt;=$F$71,E39*$G$71,513.0125)))</f>
        <v/>
      </c>
      <c r="J39" s="88">
        <f>IF(#REF!=0,0,VLOOKUP(B39,$B$6:$I$25,8,0))</f>
        <v/>
      </c>
      <c r="K39" s="89">
        <f>IF(E39+I39&lt;=$K$62,(E39+I39)*J75-J39,IF(E39+I39&lt;=$K$63,(E39+I39)*J76-J39,IF(E39+I39&lt;=$K$64,(E39+I39)*L77-J39,513.0125)))</f>
        <v/>
      </c>
      <c r="L39" s="9" t="n"/>
      <c r="M39" s="17" t="n">
        <v>99.19</v>
      </c>
      <c r="N39" s="17" t="n">
        <v>99.19</v>
      </c>
      <c r="O39" s="17" t="n">
        <v>99.19</v>
      </c>
      <c r="P39" s="17" t="n">
        <v>56.35</v>
      </c>
      <c r="Q39" s="17" t="n">
        <v>0</v>
      </c>
      <c r="R39" s="17" t="n">
        <v>99.19</v>
      </c>
      <c r="S39" s="17" t="n">
        <v>135.27</v>
      </c>
      <c r="T39" s="17" t="n">
        <v>0</v>
      </c>
      <c r="U39" s="17" t="n">
        <v>99.19</v>
      </c>
      <c r="V39" s="17" t="n">
        <v>99.19</v>
      </c>
      <c r="W39" s="17" t="n">
        <v>45.09</v>
      </c>
      <c r="X39" s="17" t="n">
        <v>100.72</v>
      </c>
      <c r="Y39" s="17" t="n">
        <v>0</v>
      </c>
      <c r="Z39" s="17" t="n"/>
      <c r="AA39" s="49">
        <f>SUM(M39:Z39)</f>
        <v/>
      </c>
      <c r="AB39" s="13" t="n"/>
    </row>
    <row r="40" ht="21" customHeight="1">
      <c r="A40" s="46" t="inlineStr">
        <is>
          <t>FRANCA</t>
        </is>
      </c>
      <c r="B40" s="15" t="inlineStr">
        <is>
          <t>CHAPA_38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IF(E40&lt;=$F$69,E40*$G$69,IF(E40&lt;=$F$70,E40*$G$70,IF(E40&lt;=$F$71,E40*$G$71,513.0125)))</f>
        <v/>
      </c>
      <c r="J40" s="88">
        <f>IF(I9=0,0,VLOOKUP(B40,$B$6:$I$25,8,0))</f>
        <v/>
      </c>
      <c r="K40" s="89">
        <f>IF(E40+I40&lt;=$K$62,(E40+I40)*J76-J40,IF(E40+I40&lt;=$K$63,(E40+I40)*J77-J40,IF(E40+I40&lt;=$K$64,(E40+I40)*L78-J40,513.0125)))</f>
        <v/>
      </c>
      <c r="L40" s="9" t="n"/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100.72</v>
      </c>
      <c r="Y40" s="17" t="n">
        <v>99.19</v>
      </c>
      <c r="Z40" s="17" t="n"/>
      <c r="AA40" s="49">
        <f>SUM(M40:Z40)</f>
        <v/>
      </c>
      <c r="AB40" s="13" t="n"/>
    </row>
    <row r="41" ht="21" customHeight="1">
      <c r="A41" s="46" t="inlineStr">
        <is>
          <t>FRANCA</t>
        </is>
      </c>
      <c r="B41" s="15" t="inlineStr">
        <is>
          <t>CHAPA_40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IF(E41&lt;=$F$69,E41*$G$69,IF(E41&lt;=$F$70,E41*$G$70,IF(E41&lt;=$F$71,E41*$G$71,513.0125)))</f>
        <v/>
      </c>
      <c r="J41" s="88">
        <f>IF(I10=0,0,VLOOKUP(B41,$B$6:$I$25,8,0))</f>
        <v/>
      </c>
      <c r="K41" s="89">
        <f>IF(E41+I41&lt;=$K$62,(E41+I41)*J77-J41,IF(E41+I41&lt;=$K$63,(E41+I41)*J78-J41,IF(E41+I41&lt;=$K$64,(E41+I41)*L79-J41,513.0125)))</f>
        <v/>
      </c>
      <c r="L41" s="9" t="n"/>
      <c r="M41" s="17" t="n">
        <v>0</v>
      </c>
      <c r="N41" s="17" t="n">
        <v>99.19</v>
      </c>
      <c r="O41" s="17" t="n">
        <v>99.19</v>
      </c>
      <c r="P41" s="17" t="n">
        <v>99.19</v>
      </c>
      <c r="Q41" s="17" t="n">
        <v>45.09</v>
      </c>
      <c r="R41" s="17" t="n">
        <v>99.19</v>
      </c>
      <c r="S41" s="17" t="n">
        <v>135.27</v>
      </c>
      <c r="T41" s="17" t="n">
        <v>114.07</v>
      </c>
      <c r="U41" s="17" t="n">
        <v>45.07</v>
      </c>
      <c r="V41" s="17" t="n">
        <v>45.07</v>
      </c>
      <c r="W41" s="17" t="n">
        <v>0</v>
      </c>
      <c r="X41" s="17" t="n">
        <v>0</v>
      </c>
      <c r="Y41" s="17" t="n">
        <v>99.19</v>
      </c>
      <c r="Z41" s="17" t="n"/>
      <c r="AA41" s="49">
        <f>SUM(M41:Z41)</f>
        <v/>
      </c>
      <c r="AB41" s="13" t="n"/>
    </row>
    <row r="42" ht="21" customHeight="1">
      <c r="A42" s="46" t="inlineStr">
        <is>
          <t>FRANCA</t>
        </is>
      </c>
      <c r="B42" s="15" t="inlineStr">
        <is>
          <t>CHAPA_41</t>
        </is>
      </c>
      <c r="C42" s="90">
        <f>AA42</f>
        <v/>
      </c>
      <c r="D42" s="90">
        <f>C42*0.1818</f>
        <v/>
      </c>
      <c r="E42" s="90">
        <f>SUM(C42:D42)</f>
        <v/>
      </c>
      <c r="F42" s="90">
        <f>E42*0.1111</f>
        <v/>
      </c>
      <c r="G42" s="90">
        <f>E42*0.083</f>
        <v/>
      </c>
      <c r="H42" s="90">
        <f>SUM(E42:G42)*0.08</f>
        <v/>
      </c>
      <c r="I42" s="88">
        <f>AA11</f>
        <v/>
      </c>
      <c r="J42" s="88">
        <f>IF(I11=0,0,VLOOKUP(B42,$B$6:$I$25,8,0))</f>
        <v/>
      </c>
      <c r="K42" s="89">
        <f>IF(E42+I42&lt;=$K$62,(E42+I42)*J78-J42,IF(E42+I42&lt;=$K$63,(E42+I42)*J79-J42,IF(E42+I42&lt;=$K$64,(E42+I42)*L80-J42,513.0125)))</f>
        <v/>
      </c>
      <c r="L42" s="9" t="n"/>
      <c r="M42" s="17" t="n">
        <v>99.19</v>
      </c>
      <c r="N42" s="17" t="n">
        <v>99.19</v>
      </c>
      <c r="O42" s="17" t="n">
        <v>99.19</v>
      </c>
      <c r="P42" s="17" t="n">
        <v>99.19</v>
      </c>
      <c r="Q42" s="17" t="n">
        <v>45.09</v>
      </c>
      <c r="R42" s="17" t="n">
        <v>99.19</v>
      </c>
      <c r="S42" s="17" t="n">
        <v>135.28</v>
      </c>
      <c r="T42" s="17" t="n">
        <v>114.07</v>
      </c>
      <c r="U42" s="17" t="n">
        <v>99.19</v>
      </c>
      <c r="V42" s="17" t="n">
        <v>99.19</v>
      </c>
      <c r="W42" s="17" t="n">
        <v>45.08</v>
      </c>
      <c r="X42" s="17" t="n">
        <v>0</v>
      </c>
      <c r="Y42" s="17" t="n">
        <v>99.19</v>
      </c>
      <c r="Z42" s="17" t="n"/>
      <c r="AA42" s="49">
        <f>SUM(M42:Z42)</f>
        <v/>
      </c>
      <c r="AB42" s="13" t="n"/>
    </row>
    <row r="43" ht="21" customHeight="1">
      <c r="A43" s="46" t="inlineStr">
        <is>
          <t>FRANCA</t>
        </is>
      </c>
      <c r="B43" s="22" t="inlineStr">
        <is>
          <t>CHAPA_42</t>
        </is>
      </c>
      <c r="C43" s="90">
        <f>AA43</f>
        <v/>
      </c>
      <c r="D43" s="90">
        <f>C43*0.1818</f>
        <v/>
      </c>
      <c r="E43" s="90">
        <f>SUM(C43:D43)</f>
        <v/>
      </c>
      <c r="F43" s="90">
        <f>E43*0.1111</f>
        <v/>
      </c>
      <c r="G43" s="90">
        <f>E43*0.083</f>
        <v/>
      </c>
      <c r="H43" s="90">
        <f>SUM(E43:G43)*0.08</f>
        <v/>
      </c>
      <c r="I43" s="88">
        <f>AA12</f>
        <v/>
      </c>
      <c r="J43" s="88">
        <f>IF(I12=0,0,VLOOKUP(#REF!,$B$6:$I$25,8,0))</f>
        <v/>
      </c>
      <c r="K43" s="89">
        <f>IF(E43+I43&lt;=$K$62,(E43+I43)*J79-J43,IF(E43+I43&lt;=$K$63,(E43+I43)*J80-J43,IF(E43+I43&lt;=$K$64,(E43+I43)*L81-J43,513.0125)))</f>
        <v/>
      </c>
      <c r="L43" s="9" t="n"/>
      <c r="M43" s="17" t="n">
        <v>99.19</v>
      </c>
      <c r="N43" s="17" t="n">
        <v>99.19</v>
      </c>
      <c r="O43" s="17" t="n">
        <v>99.19</v>
      </c>
      <c r="P43" s="17" t="n">
        <v>99.19</v>
      </c>
      <c r="Q43" s="17" t="n">
        <v>45.09</v>
      </c>
      <c r="R43" s="17" t="n">
        <v>133</v>
      </c>
      <c r="S43" s="17" t="n">
        <v>0</v>
      </c>
      <c r="T43" s="17" t="n">
        <v>114.07</v>
      </c>
      <c r="U43" s="17" t="n">
        <v>99.19</v>
      </c>
      <c r="V43" s="17" t="n">
        <v>99.20999999999999</v>
      </c>
      <c r="W43" s="17" t="n">
        <v>45.09</v>
      </c>
      <c r="X43" s="17" t="n">
        <v>100.72</v>
      </c>
      <c r="Y43" s="17" t="n">
        <v>99.19</v>
      </c>
      <c r="Z43" s="17" t="n"/>
      <c r="AA43" s="49">
        <f>SUM(M43:Z43)</f>
        <v/>
      </c>
      <c r="AB43" s="13" t="n"/>
    </row>
    <row r="44" ht="21" customHeight="1">
      <c r="A44" s="46" t="inlineStr">
        <is>
          <t>FRANCA</t>
        </is>
      </c>
      <c r="B44" s="15" t="inlineStr">
        <is>
          <t>CHAPA_43</t>
        </is>
      </c>
      <c r="C44" s="90">
        <f>AA44</f>
        <v/>
      </c>
      <c r="D44" s="90">
        <f>C44*0.1818</f>
        <v/>
      </c>
      <c r="E44" s="90">
        <f>SUM(C44:D44)</f>
        <v/>
      </c>
      <c r="F44" s="90">
        <f>E44*0.1111</f>
        <v/>
      </c>
      <c r="G44" s="90">
        <f>E44*0.083</f>
        <v/>
      </c>
      <c r="H44" s="90">
        <f>SUM(E44:G44)*0.08</f>
        <v/>
      </c>
      <c r="I44" s="88">
        <f>AA13</f>
        <v/>
      </c>
      <c r="J44" s="88">
        <f>IF(I13=0,0,VLOOKUP(B43,$B$6:$I$25,8,0))</f>
        <v/>
      </c>
      <c r="K44" s="89">
        <f>IF(E44+I44&lt;=$K$62,(E44+I44)*J80-J44,IF(E44+I44&lt;=$K$63,(E44+I44)*J81-J44,IF(E44+I44&lt;=$K$64,(E44+I44)*L82-J44,513.0125)))</f>
        <v/>
      </c>
      <c r="L44" s="9" t="n"/>
      <c r="M44" s="17" t="n">
        <v>99.20999999999999</v>
      </c>
      <c r="N44" s="17" t="n">
        <v>99.19</v>
      </c>
      <c r="O44" s="17" t="n">
        <v>99.19</v>
      </c>
      <c r="P44" s="17" t="n">
        <v>99.20999999999999</v>
      </c>
      <c r="Q44" s="17" t="n">
        <v>45.07</v>
      </c>
      <c r="R44" s="17" t="n">
        <v>99.2</v>
      </c>
      <c r="S44" s="17" t="n">
        <v>135.27</v>
      </c>
      <c r="T44" s="17" t="n">
        <v>114.07</v>
      </c>
      <c r="U44" s="17" t="n">
        <v>99.23</v>
      </c>
      <c r="V44" s="17" t="n">
        <v>99.20999999999999</v>
      </c>
      <c r="W44" s="17" t="n">
        <v>45.09</v>
      </c>
      <c r="X44" s="17" t="n">
        <v>0</v>
      </c>
      <c r="Y44" s="17" t="n">
        <v>99.22</v>
      </c>
      <c r="Z44" s="17" t="n"/>
      <c r="AA44" s="49">
        <f>SUM(M44:Z44)</f>
        <v/>
      </c>
      <c r="AB44" s="13" t="n"/>
    </row>
    <row r="45" ht="21" customHeight="1">
      <c r="A45" s="46" t="inlineStr">
        <is>
          <t>FRANCA</t>
        </is>
      </c>
      <c r="B45" s="91" t="inlineStr">
        <is>
          <t>CHAPA_22</t>
        </is>
      </c>
      <c r="C45" s="90">
        <f>AA45</f>
        <v/>
      </c>
      <c r="D45" s="90">
        <f>C45*0.1818</f>
        <v/>
      </c>
      <c r="E45" s="90">
        <f>SUM(C45:D45)</f>
        <v/>
      </c>
      <c r="F45" s="90">
        <f>E45*0.1111</f>
        <v/>
      </c>
      <c r="G45" s="90">
        <f>E45*0.083</f>
        <v/>
      </c>
      <c r="H45" s="90">
        <f>SUM(E45:G45)*0.08</f>
        <v/>
      </c>
      <c r="I45" s="88">
        <f>AA14</f>
        <v/>
      </c>
      <c r="J45" s="88">
        <f>IF(I14=0,0,VLOOKUP(B44,$B$6:$I$25,8,0))</f>
        <v/>
      </c>
      <c r="K45" s="89">
        <f>IF(E45+I45&lt;=$K$62,(E45+I45)*J81-J45,IF(E45+I45&lt;=$K$63,(E45+I45)*J82-J45,IF(E45+I45&lt;=$K$64,(E45+I45)*L83-J45,513.0125)))</f>
        <v/>
      </c>
      <c r="L45" s="9" t="n"/>
      <c r="M45" s="17" t="n">
        <v>0</v>
      </c>
      <c r="N45" s="17" t="n">
        <v>99.20999999999999</v>
      </c>
      <c r="O45" s="17" t="n">
        <v>99.20999999999999</v>
      </c>
      <c r="P45" s="17" t="n">
        <v>99.20999999999999</v>
      </c>
      <c r="Q45" s="17" t="n">
        <v>0</v>
      </c>
      <c r="R45" s="17" t="n">
        <v>99.20999999999999</v>
      </c>
      <c r="S45" s="17" t="n">
        <v>143.72</v>
      </c>
      <c r="T45" s="17" t="n">
        <v>114.07</v>
      </c>
      <c r="U45" s="17" t="n">
        <v>99.19</v>
      </c>
      <c r="V45" s="17" t="n">
        <v>0</v>
      </c>
      <c r="W45" s="17" t="n">
        <v>45.08</v>
      </c>
      <c r="X45" s="17" t="n">
        <v>100.72</v>
      </c>
      <c r="Y45" s="17" t="n">
        <v>99.2</v>
      </c>
      <c r="Z45" s="17" t="n"/>
      <c r="AA45" s="49">
        <f>SUM(M45:Z45)</f>
        <v/>
      </c>
      <c r="AB45" s="13" t="n"/>
    </row>
    <row r="46" ht="21" customHeight="1">
      <c r="A46" s="46" t="inlineStr">
        <is>
          <t>FRANCA</t>
        </is>
      </c>
      <c r="B46" s="24" t="n"/>
      <c r="C46" s="90">
        <f>AA46</f>
        <v/>
      </c>
      <c r="D46" s="90">
        <f>C46*0.1818</f>
        <v/>
      </c>
      <c r="E46" s="90">
        <f>SUM(C46:D46)</f>
        <v/>
      </c>
      <c r="F46" s="90">
        <f>E46*0.1111</f>
        <v/>
      </c>
      <c r="G46" s="90">
        <f>E46*0.083</f>
        <v/>
      </c>
      <c r="H46" s="90">
        <f>SUM(E46:G46)*0.08</f>
        <v/>
      </c>
      <c r="I46" s="88">
        <f>AA15</f>
        <v/>
      </c>
      <c r="J46" s="88">
        <f>IF(I15=0,0,VLOOKUP(B45,$B$6:$I$25,8,0))</f>
        <v/>
      </c>
      <c r="K46" s="89">
        <f>IF(E46+I46&lt;=$K$62,(E46+I46)*J82-J46,IF(E46+I46&lt;=$K$63,(E46+I46)*J83-J46,IF(E46+I46&lt;=$K$64,(E46+I46)*L84-J46,513.0125)))</f>
        <v/>
      </c>
      <c r="L46" s="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49">
        <f>SUM(M46:Z46)</f>
        <v/>
      </c>
      <c r="AB46" s="13" t="n"/>
    </row>
    <row r="47" ht="21" customHeight="1">
      <c r="A47" s="46" t="inlineStr">
        <is>
          <t>FRANCA</t>
        </is>
      </c>
      <c r="B47" s="15" t="n"/>
      <c r="C47" s="90">
        <f>AA47</f>
        <v/>
      </c>
      <c r="D47" s="90">
        <f>C47*0.1818</f>
        <v/>
      </c>
      <c r="E47" s="90">
        <f>SUM(C47:D47)</f>
        <v/>
      </c>
      <c r="F47" s="90">
        <f>E47*0.1111</f>
        <v/>
      </c>
      <c r="G47" s="90">
        <f>E47*0.083</f>
        <v/>
      </c>
      <c r="H47" s="90">
        <f>SUM(E47:G47)*0.08</f>
        <v/>
      </c>
      <c r="I47" s="88">
        <f>AA16</f>
        <v/>
      </c>
      <c r="J47" s="88">
        <f>IF(I16=0,0,VLOOKUP(B47,$B$6:$I$25,8,0))</f>
        <v/>
      </c>
      <c r="K47" s="89">
        <f>IF(E47+I47&lt;=$K$62,(E47+I47)*J83-J47,IF(E47+I47&lt;=$K$63,(E47+I47)*J84-J47,IF(E47+I47&lt;=$K$64,(E47+I47)*L85-J47,513.0125)))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49">
        <f>SUM(M47:Z47)</f>
        <v/>
      </c>
      <c r="AB47" s="13" t="n"/>
    </row>
    <row r="48" ht="21" customHeight="1">
      <c r="A48" s="46" t="inlineStr">
        <is>
          <t>FRANCA</t>
        </is>
      </c>
      <c r="B48" s="15" t="n"/>
      <c r="C48" s="90">
        <f>AA48</f>
        <v/>
      </c>
      <c r="D48" s="90">
        <f>C48*0.1818</f>
        <v/>
      </c>
      <c r="E48" s="90">
        <f>SUM(C48:D48)</f>
        <v/>
      </c>
      <c r="F48" s="90">
        <f>E48*0.1111</f>
        <v/>
      </c>
      <c r="G48" s="90">
        <f>E48*0.083</f>
        <v/>
      </c>
      <c r="H48" s="90">
        <f>SUM(E48:G48)*0.08</f>
        <v/>
      </c>
      <c r="I48" s="88">
        <f>AA17</f>
        <v/>
      </c>
      <c r="J48" s="88">
        <f>IF(I17=0,0,VLOOKUP(B48,$B$6:$I$25,8,0))</f>
        <v/>
      </c>
      <c r="K48" s="89">
        <f>IF(E48+I48&lt;=$K$62,(E48+I48)*J84-J48,IF(E48+I48&lt;=$K$63,(E48+I48)*J85-J48,IF(E48+I48&lt;=$K$64,(E48+I48)*L86-J48,513.0125)))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49">
        <f>SUM(M48:Z48)</f>
        <v/>
      </c>
      <c r="AB48" s="13" t="n"/>
    </row>
    <row r="49" ht="21" customHeight="1">
      <c r="A49" s="46" t="inlineStr">
        <is>
          <t>FRANCA</t>
        </is>
      </c>
      <c r="B49" s="15" t="n"/>
      <c r="C49" s="90" t="n">
        <v>0</v>
      </c>
      <c r="D49" s="90">
        <f>C49*0.1818</f>
        <v/>
      </c>
      <c r="E49" s="90">
        <f>SUM(C49:D49)</f>
        <v/>
      </c>
      <c r="F49" s="90">
        <f>E49*0.1111</f>
        <v/>
      </c>
      <c r="G49" s="90">
        <f>E49*0.083</f>
        <v/>
      </c>
      <c r="H49" s="90">
        <f>SUM(E49:G49)*0.08</f>
        <v/>
      </c>
      <c r="I49" s="88">
        <f>AA18</f>
        <v/>
      </c>
      <c r="J49" s="88">
        <f>IF(I18=0,0,VLOOKUP(B49,$B$6:$I$25,8,0))</f>
        <v/>
      </c>
      <c r="K49" s="89">
        <f>IF(E49+I49&lt;=$K$62,(E49+I49)*J85-J49,IF(E49+I49&lt;=$K$63,(E49+I49)*J86-J49,IF(E49+I49&lt;=$K$64,(E49+I49)*L87-J49,513.0125)))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49">
        <f>SUM(M49:Z49)</f>
        <v/>
      </c>
      <c r="AB49" s="13" t="n"/>
    </row>
    <row r="50" ht="21" customHeight="1">
      <c r="A50" s="46" t="inlineStr">
        <is>
          <t>FRANCA</t>
        </is>
      </c>
      <c r="B50" s="15" t="n"/>
      <c r="C50" s="90">
        <f>AA50</f>
        <v/>
      </c>
      <c r="D50" s="90">
        <f>C50*0.1818</f>
        <v/>
      </c>
      <c r="E50" s="90">
        <f>SUM(C50:D50)</f>
        <v/>
      </c>
      <c r="F50" s="90">
        <f>E50*0.1111</f>
        <v/>
      </c>
      <c r="G50" s="90">
        <f>E50*0.083</f>
        <v/>
      </c>
      <c r="H50" s="90">
        <f>SUM(E50:G50)*0.08</f>
        <v/>
      </c>
      <c r="I50" s="88">
        <f>AA19</f>
        <v/>
      </c>
      <c r="J50" s="88">
        <f>IF(I19=0,0,VLOOKUP(B50,$B$6:$I$25,8,0))</f>
        <v/>
      </c>
      <c r="K50" s="89">
        <f>IF(E50+I50&lt;=$K$62,(E50+I50)*J86-J50,IF(E50+I50&lt;=$K$63,(E50+I50)*J87-J50,IF(E50+I50&lt;=$K$64,(E50+I50)*L88-J50,513.0125)))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51" t="n"/>
      <c r="AA50" s="49">
        <f>SUM(M50:Z50)</f>
        <v/>
      </c>
      <c r="AB50" s="13" t="n"/>
    </row>
    <row r="51" ht="21" customHeight="1">
      <c r="A51" s="46" t="inlineStr">
        <is>
          <t>FRANCA</t>
        </is>
      </c>
      <c r="B51" s="15" t="n"/>
      <c r="C51" s="90">
        <f>AA51</f>
        <v/>
      </c>
      <c r="D51" s="90">
        <f>C51*0.1818</f>
        <v/>
      </c>
      <c r="E51" s="90">
        <f>SUM(C51:D51)</f>
        <v/>
      </c>
      <c r="F51" s="90">
        <f>E51*0.1111</f>
        <v/>
      </c>
      <c r="G51" s="90">
        <f>E51*0.083</f>
        <v/>
      </c>
      <c r="H51" s="90">
        <f>SUM(E51:G51)*0.08</f>
        <v/>
      </c>
      <c r="I51" s="88">
        <f>AA20</f>
        <v/>
      </c>
      <c r="J51" s="88">
        <f>IF(I20=0,0,VLOOKUP(B51,$B$6:$I$25,8,0))</f>
        <v/>
      </c>
      <c r="K51" s="89">
        <f>IF(E51+I51&lt;=$K$62,(E51+I51)*J87-J51,IF(E51+I51&lt;=$K$63,(E51+I51)*J88-J51,IF(E51+I51&lt;=$K$64,(E51+I51)*L89-J51,513.0125)))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51" t="n"/>
      <c r="AA51" s="49">
        <f>SUM(M51:Z51)</f>
        <v/>
      </c>
      <c r="AB51" s="13" t="n"/>
    </row>
    <row r="52" ht="21" customHeight="1">
      <c r="A52" s="46" t="inlineStr">
        <is>
          <t>FRANCA</t>
        </is>
      </c>
      <c r="B52" s="22" t="n"/>
      <c r="C52" s="90">
        <f>AA52</f>
        <v/>
      </c>
      <c r="D52" s="90">
        <f>C52*0.1818</f>
        <v/>
      </c>
      <c r="E52" s="90">
        <f>SUM(C52:D52)</f>
        <v/>
      </c>
      <c r="F52" s="90">
        <f>E52*0.1111</f>
        <v/>
      </c>
      <c r="G52" s="90">
        <f>E52*0.083</f>
        <v/>
      </c>
      <c r="H52" s="90">
        <f>SUM(E52:G52)*0.08</f>
        <v/>
      </c>
      <c r="I52" s="88">
        <f>AA21</f>
        <v/>
      </c>
      <c r="J52" s="88">
        <f>IF(I21=0,0,VLOOKUP(B52,$B$6:$I$25,8,0))</f>
        <v/>
      </c>
      <c r="K52" s="89">
        <f>IF(E52+I52&lt;=$K$62,(E52+I52)*J88-J52,IF(E52+I52&lt;=$K$63,(E52+I52)*J89-J52,IF(E52+I52&lt;=$K$64,(E52+I52)*L90-J52,513.0125)))</f>
        <v/>
      </c>
      <c r="L52" s="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51" t="n"/>
      <c r="AA52" s="49">
        <f>SUM(M52:Z52)</f>
        <v/>
      </c>
      <c r="AB52" s="13" t="n"/>
    </row>
    <row r="53" ht="21" customHeight="1">
      <c r="A53" s="46" t="inlineStr">
        <is>
          <t>FRANCA</t>
        </is>
      </c>
      <c r="B53" s="22" t="n"/>
      <c r="C53" s="90">
        <f>AA53</f>
        <v/>
      </c>
      <c r="D53" s="90">
        <f>C53*0.1818</f>
        <v/>
      </c>
      <c r="E53" s="90">
        <f>SUM(C53:D53)</f>
        <v/>
      </c>
      <c r="F53" s="90">
        <f>E53*0.1111</f>
        <v/>
      </c>
      <c r="G53" s="90">
        <f>E53*0.083</f>
        <v/>
      </c>
      <c r="H53" s="90">
        <f>SUM(E53:G53)*0.08</f>
        <v/>
      </c>
      <c r="I53" s="88">
        <f>AA22</f>
        <v/>
      </c>
      <c r="J53" s="88">
        <f>IF(I22=0,0,VLOOKUP(B53,$B$6:$I$25,8,0))</f>
        <v/>
      </c>
      <c r="K53" s="89">
        <f>IF(E53+I53&lt;=$K$62,(E53+I53)*J89-J53,IF(E53+I53&lt;=$K$63,(E53+I53)*J90-J53,IF(E53+I53&lt;=$K$64,(E53+I53)*L91-J53,513.0125)))</f>
        <v/>
      </c>
      <c r="L53" s="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51" t="n"/>
      <c r="Z53" s="51" t="n"/>
      <c r="AA53" s="49">
        <f>SUM(M53:Z53)</f>
        <v/>
      </c>
      <c r="AB53" s="13" t="n"/>
    </row>
    <row r="54" ht="21" customHeight="1">
      <c r="A54" s="46" t="inlineStr">
        <is>
          <t>FRANCA</t>
        </is>
      </c>
      <c r="B54" s="15" t="n"/>
      <c r="C54" s="90">
        <f>AA54</f>
        <v/>
      </c>
      <c r="D54" s="90">
        <f>C54*0.1818</f>
        <v/>
      </c>
      <c r="E54" s="90">
        <f>SUM(C54:D54)</f>
        <v/>
      </c>
      <c r="F54" s="90">
        <f>E54*0.1111</f>
        <v/>
      </c>
      <c r="G54" s="90">
        <f>E54*0.083</f>
        <v/>
      </c>
      <c r="H54" s="90">
        <f>SUM(E54:G54)*0.08</f>
        <v/>
      </c>
      <c r="I54" s="88">
        <f>AA23</f>
        <v/>
      </c>
      <c r="J54" s="88">
        <f>IF(I23=0,0,VLOOKUP(B54,$B$6:$I$25,8,0))</f>
        <v/>
      </c>
      <c r="K54" s="89">
        <f>IF(E54+I54&lt;=$K$62,(E54+I54)*J90-J54,IF(E54+I54&lt;=$K$63,(E54+I54)*J91-J54,IF(E54+I54&lt;=$K$64,(E54+I54)*L92-J54,513.0125)))</f>
        <v/>
      </c>
      <c r="L54" s="9" t="n"/>
      <c r="M54" s="17" t="n"/>
      <c r="N54" s="52" t="n"/>
      <c r="O54" s="52" t="n"/>
      <c r="P54" s="17" t="n"/>
      <c r="Q54" s="52" t="n"/>
      <c r="R54" s="17" t="n"/>
      <c r="S54" s="52" t="n"/>
      <c r="T54" s="17" t="n"/>
      <c r="U54" s="17" t="n"/>
      <c r="V54" s="52" t="n"/>
      <c r="W54" s="51" t="n"/>
      <c r="X54" s="51" t="n"/>
      <c r="Y54" s="51" t="n"/>
      <c r="Z54" s="51" t="n"/>
      <c r="AA54" s="49">
        <f>SUM(M54:Z54)</f>
        <v/>
      </c>
      <c r="AB54" s="13" t="n"/>
    </row>
    <row r="55" ht="21" customHeight="1">
      <c r="A55" s="46" t="inlineStr">
        <is>
          <t>FRANCA</t>
        </is>
      </c>
      <c r="B55" s="15" t="n"/>
      <c r="C55" s="90">
        <f>AA55</f>
        <v/>
      </c>
      <c r="D55" s="90">
        <f>C55*0.1818</f>
        <v/>
      </c>
      <c r="E55" s="90">
        <f>SUM(C55:D55)</f>
        <v/>
      </c>
      <c r="F55" s="90">
        <f>E55*0.1111</f>
        <v/>
      </c>
      <c r="G55" s="90">
        <f>E55*0.083</f>
        <v/>
      </c>
      <c r="H55" s="90">
        <f>SUM(E55:G55)*0.08</f>
        <v/>
      </c>
      <c r="I55" s="88">
        <f>AA24</f>
        <v/>
      </c>
      <c r="J55" s="88">
        <f>IF(I24=0,0,VLOOKUP(B55,$B$6:$I$25,8,0))</f>
        <v/>
      </c>
      <c r="K55" s="89">
        <f>IF(E55+I55&lt;=$K$62,(E55+I55)*J91-J55,IF(E55+I55&lt;=$K$63,(E55+I55)*J92-J55,IF(E55+I55&lt;=$K$64,(E55+I55)*L93-J55,513.0125)))</f>
        <v/>
      </c>
      <c r="L55" s="9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1" t="n"/>
      <c r="X55" s="51" t="n"/>
      <c r="Y55" s="51" t="n"/>
      <c r="Z55" s="51" t="n"/>
      <c r="AA55" s="49">
        <f>SUM(M55:Z55)</f>
        <v/>
      </c>
      <c r="AB55" s="13" t="n"/>
    </row>
    <row r="56" ht="21.6" customHeight="1" thickBot="1">
      <c r="A56" s="46" t="inlineStr">
        <is>
          <t>FRANCA</t>
        </is>
      </c>
      <c r="B56" s="53" t="n"/>
      <c r="C56" s="92">
        <f>AA56</f>
        <v/>
      </c>
      <c r="D56" s="92">
        <f>C56*0.1818</f>
        <v/>
      </c>
      <c r="E56" s="92">
        <f>SUM(C56:D56)</f>
        <v/>
      </c>
      <c r="F56" s="92">
        <f>E56*0.1111</f>
        <v/>
      </c>
      <c r="G56" s="92">
        <f>E56*0.083</f>
        <v/>
      </c>
      <c r="H56" s="92">
        <f>SUM(E56:G56)*0.08</f>
        <v/>
      </c>
      <c r="I56" s="93">
        <f>AA25</f>
        <v/>
      </c>
      <c r="J56" s="93">
        <f>IF(I25=0,0,VLOOKUP(B56,$B$6:$I$25,8,0))</f>
        <v/>
      </c>
      <c r="K56" s="94">
        <f>IF(E56+I56&lt;=$K$62,(E56+I56)*J92-J56,IF(E56+I56&lt;=$K$63,(E56+I56)*J93-J56,IF(E56+I56&lt;=$K$64,(E56+I56)*L94-J56,513.0125)))</f>
        <v/>
      </c>
      <c r="L56" s="9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49">
        <f>SUM(M56:Z56)</f>
        <v/>
      </c>
      <c r="AB56" s="13" t="n"/>
    </row>
    <row r="57" ht="21" customHeight="1" thickBo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28" t="n"/>
      <c r="N57" s="28">
        <f>COUNT(#REF!)</f>
        <v/>
      </c>
      <c r="O57" s="28">
        <f>COUNT(#REF!)</f>
        <v/>
      </c>
      <c r="P57" s="28" t="n">
        <v>29</v>
      </c>
      <c r="Q57" s="28">
        <f>COUNT(#REF!)</f>
        <v/>
      </c>
      <c r="R57" s="28">
        <f>COUNT(#REF!)</f>
        <v/>
      </c>
      <c r="S57" s="28">
        <f>COUNT(#REF!)</f>
        <v/>
      </c>
      <c r="T57" s="28" t="n"/>
      <c r="U57" s="28">
        <f>COUNT(#REF!)</f>
        <v/>
      </c>
      <c r="V57" s="28">
        <f>COUNT(#REF!)</f>
        <v/>
      </c>
      <c r="W57" s="28" t="n"/>
      <c r="X57" s="28" t="n"/>
      <c r="Y57" s="28" t="n"/>
      <c r="Z57" s="28" t="n"/>
      <c r="AA57" s="28" t="n"/>
      <c r="AB57" s="10" t="n"/>
    </row>
    <row r="58" ht="21" customHeight="1">
      <c r="L58" s="10" t="n"/>
      <c r="M58" s="29" t="inlineStr">
        <is>
          <t>TOTAL GERAL / BOLETIM ENSACADORES:</t>
        </is>
      </c>
      <c r="N58" s="30" t="n"/>
      <c r="O58" s="30" t="n"/>
      <c r="P58" s="30" t="n"/>
      <c r="Q58" s="30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2" t="inlineStr">
        <is>
          <t>TOTAL:</t>
        </is>
      </c>
    </row>
    <row r="59" ht="21" customHeight="1">
      <c r="L59" s="10" t="n"/>
      <c r="M59" s="33">
        <f>SUM(M35:M56)</f>
        <v/>
      </c>
      <c r="N59" s="33">
        <f>SUM(N35:N56)</f>
        <v/>
      </c>
      <c r="O59" s="33">
        <f>SUM(O35:O47)</f>
        <v/>
      </c>
      <c r="P59" s="33">
        <f>SUM(P35:P56)</f>
        <v/>
      </c>
      <c r="Q59" s="33">
        <f>SUM(Q35:Q55)</f>
        <v/>
      </c>
      <c r="R59" s="33">
        <f>SUM(R35:R56)</f>
        <v/>
      </c>
      <c r="S59" s="33">
        <f>SUM(S35:S56)</f>
        <v/>
      </c>
      <c r="T59" s="33">
        <f>SUM(T35:T56)</f>
        <v/>
      </c>
      <c r="U59" s="33">
        <f>SUM(U35:U56)</f>
        <v/>
      </c>
      <c r="V59" s="33">
        <f>SUM(V35:V56)</f>
        <v/>
      </c>
      <c r="W59" s="33">
        <f>SUM(W35:W56)</f>
        <v/>
      </c>
      <c r="X59" s="33">
        <f>SUM(X35:X56)</f>
        <v/>
      </c>
      <c r="Y59" s="33">
        <f>SUM(Y35:Y56)</f>
        <v/>
      </c>
      <c r="Z59" s="33">
        <f>SUM(Z35:Z56)</f>
        <v/>
      </c>
      <c r="AA59" s="34" t="n"/>
      <c r="AB59" s="35">
        <f>SUM(M59:Z59)</f>
        <v/>
      </c>
    </row>
    <row r="60"/>
    <row r="61" ht="15" customHeight="1" thickBot="1"/>
    <row r="62" ht="21.6" customHeight="1" thickBot="1">
      <c r="A62" s="64" t="inlineStr">
        <is>
          <t>MÉDIA DIARIA CHAPAS</t>
        </is>
      </c>
      <c r="B62" s="108" t="n"/>
      <c r="C62" s="37" t="n">
        <v>10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</row>
    <row r="63" ht="20.4" customHeight="1"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 ht="21" customHeight="1">
      <c r="A64" s="95" t="n"/>
      <c r="B64" s="10" t="n"/>
      <c r="C64" s="5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</sheetData>
  <mergeCells count="8">
    <mergeCell ref="A62:B62"/>
    <mergeCell ref="M33:AB33"/>
    <mergeCell ref="A2:H2"/>
    <mergeCell ref="A33:K33"/>
    <mergeCell ref="A3:I3"/>
    <mergeCell ref="M4:AA4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13"/>
  <sheetViews>
    <sheetView topLeftCell="A25" zoomScale="40" zoomScaleNormal="40" workbookViewId="0">
      <selection activeCell="K64" sqref="K64"/>
    </sheetView>
  </sheetViews>
  <sheetFormatPr baseColWidth="8" defaultColWidth="16.5546875" defaultRowHeight="14.4"/>
  <cols>
    <col width="60.44140625" bestFit="1" customWidth="1" min="2" max="2"/>
    <col width="14" bestFit="1" customWidth="1" min="3" max="3"/>
    <col width="18.44140625" bestFit="1" customWidth="1" min="28" max="28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8" t="n"/>
      <c r="AB4" s="5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1" customFormat="1" customHeight="1" s="98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45931</v>
      </c>
      <c r="N5" s="11" t="n">
        <v>45932</v>
      </c>
      <c r="O5" s="11" t="n">
        <v>45933</v>
      </c>
      <c r="P5" s="11" t="n">
        <v>45934</v>
      </c>
      <c r="Q5" s="11" t="n">
        <v>45936</v>
      </c>
      <c r="R5" s="11" t="n">
        <v>45937</v>
      </c>
      <c r="S5" s="11" t="n">
        <v>45938</v>
      </c>
      <c r="T5" s="11" t="n">
        <v>45939</v>
      </c>
      <c r="U5" s="11" t="n">
        <v>45940</v>
      </c>
      <c r="V5" s="11" t="n">
        <v>45941</v>
      </c>
      <c r="W5" s="11" t="n">
        <v>45943</v>
      </c>
      <c r="X5" s="11" t="n">
        <v>45944</v>
      </c>
      <c r="Y5" s="11" t="n">
        <v>45945</v>
      </c>
      <c r="Z5" s="11" t="n"/>
      <c r="AA5" s="12" t="inlineStr">
        <is>
          <t>TOTAL</t>
        </is>
      </c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</row>
    <row r="6" ht="21" customFormat="1" customHeight="1" s="98">
      <c r="A6" s="14" t="inlineStr">
        <is>
          <t>FRANCA</t>
        </is>
      </c>
      <c r="B6" s="22" t="inlineStr">
        <is>
          <t>CHAPA_02</t>
        </is>
      </c>
      <c r="C6" s="10">
        <f>AA6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IF(E6&lt;=$F$66,E6*$G$66,IF(E6&lt;=$F$67,E6*$G$67,IF(E6&lt;=$F$68,E6*$G$68,513.0125)))</f>
        <v/>
      </c>
      <c r="J6" s="9" t="n"/>
      <c r="K6" s="10" t="n"/>
      <c r="L6" s="10" t="n"/>
      <c r="M6" s="17" t="n">
        <v>99.18000000000001</v>
      </c>
      <c r="N6" s="17" t="n">
        <v>133</v>
      </c>
      <c r="O6" s="17" t="n">
        <v>0</v>
      </c>
      <c r="P6" s="17" t="n">
        <v>0</v>
      </c>
      <c r="Q6" s="17" t="n">
        <v>104.45</v>
      </c>
      <c r="R6" s="17" t="n">
        <v>99.19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/>
      <c r="AA6" s="18">
        <f>SUM(M6:Z6)</f>
        <v/>
      </c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</row>
    <row r="7" ht="21" customFormat="1" customHeight="1" s="98">
      <c r="A7" s="14" t="inlineStr">
        <is>
          <t>FRANCA</t>
        </is>
      </c>
      <c r="B7" s="22" t="inlineStr">
        <is>
          <t>CHAPA_06</t>
        </is>
      </c>
      <c r="C7" s="19">
        <f>AA7</f>
        <v/>
      </c>
      <c r="D7" s="19">
        <f>C7*0.1818</f>
        <v/>
      </c>
      <c r="E7" s="19">
        <f>SUM(C7:D7)</f>
        <v/>
      </c>
      <c r="F7" s="19">
        <f>E7*0.1111</f>
        <v/>
      </c>
      <c r="G7" s="19">
        <f>E7*0.083</f>
        <v/>
      </c>
      <c r="H7" s="19">
        <f>SUM(E7:G7)*0.08</f>
        <v/>
      </c>
      <c r="I7" s="19">
        <f>IF(E7&lt;=$F$66,E7*$G$66,IF(E7&lt;=$F$67,E7*$G$67,IF(E7&lt;=$F$68,E7*$G$68,513.0125)))</f>
        <v/>
      </c>
      <c r="J7" s="9" t="n"/>
      <c r="K7" s="20" t="n"/>
      <c r="L7" s="10" t="n"/>
      <c r="M7" s="17" t="n">
        <v>0</v>
      </c>
      <c r="N7" s="17" t="n">
        <v>99.19</v>
      </c>
      <c r="O7" s="17" t="n">
        <v>99.19</v>
      </c>
      <c r="P7" s="17" t="n">
        <v>45.09</v>
      </c>
      <c r="Q7" s="17" t="n">
        <v>104.45</v>
      </c>
      <c r="R7" s="17" t="n">
        <v>99.19</v>
      </c>
      <c r="S7" s="17" t="n">
        <v>99.2</v>
      </c>
      <c r="T7" s="17" t="n">
        <v>99.2</v>
      </c>
      <c r="U7" s="17" t="n">
        <v>99.19</v>
      </c>
      <c r="V7" s="17" t="n">
        <v>45.08</v>
      </c>
      <c r="W7" s="17" t="n">
        <v>0</v>
      </c>
      <c r="X7" s="17" t="n">
        <v>99.19</v>
      </c>
      <c r="Y7" s="17" t="n">
        <v>0</v>
      </c>
      <c r="Z7" s="17" t="n"/>
      <c r="AA7" s="18">
        <f>SUM(M7:Z7)</f>
        <v/>
      </c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</row>
    <row r="8" ht="21" customFormat="1" customHeight="1" s="98">
      <c r="A8" s="14" t="inlineStr">
        <is>
          <t>FRANCA</t>
        </is>
      </c>
      <c r="B8" s="22" t="inlineStr">
        <is>
          <t>CHAPA_09</t>
        </is>
      </c>
      <c r="C8" s="19">
        <f>AA8</f>
        <v/>
      </c>
      <c r="D8" s="19">
        <f>C8*0.1818</f>
        <v/>
      </c>
      <c r="E8" s="19">
        <f>SUM(C8:D8)</f>
        <v/>
      </c>
      <c r="F8" s="19">
        <f>E8*0.1111</f>
        <v/>
      </c>
      <c r="G8" s="19">
        <f>E8*0.083</f>
        <v/>
      </c>
      <c r="H8" s="19">
        <f>SUM(E8:G8)*0.08</f>
        <v/>
      </c>
      <c r="I8" s="19">
        <f>IF(E8&lt;=$F$66,E8*$G$66,IF(E8&lt;=$F$67,E8*$G$67,IF(E8&lt;=$F$68,E8*$G$68,513.0125)))</f>
        <v/>
      </c>
      <c r="J8" s="9" t="n"/>
      <c r="K8" s="10" t="n"/>
      <c r="L8" s="10" t="n"/>
      <c r="M8" s="17" t="n">
        <v>99.19</v>
      </c>
      <c r="N8" s="17" t="n">
        <v>99.19</v>
      </c>
      <c r="O8" s="17" t="n">
        <v>99.2</v>
      </c>
      <c r="P8" s="17" t="n">
        <v>45.09</v>
      </c>
      <c r="Q8" s="17" t="n">
        <v>104.46</v>
      </c>
      <c r="R8" s="17" t="n">
        <v>99.2</v>
      </c>
      <c r="S8" s="17" t="n">
        <v>99.2</v>
      </c>
      <c r="T8" s="17" t="n">
        <v>28.19</v>
      </c>
      <c r="U8" s="17" t="n">
        <v>99.2</v>
      </c>
      <c r="V8" s="17" t="n">
        <v>45.08</v>
      </c>
      <c r="W8" s="17" t="n">
        <v>99.19</v>
      </c>
      <c r="X8" s="17" t="n">
        <v>99.19</v>
      </c>
      <c r="Y8" s="17" t="n">
        <v>148.6</v>
      </c>
      <c r="Z8" s="17" t="n"/>
      <c r="AA8" s="18">
        <f>SUM(M8:Z8)</f>
        <v/>
      </c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</row>
    <row r="9" ht="21" customFormat="1" customHeight="1" s="98">
      <c r="A9" s="14" t="inlineStr">
        <is>
          <t>FRANCA</t>
        </is>
      </c>
      <c r="B9" s="24" t="inlineStr">
        <is>
          <t>CHAPA_15</t>
        </is>
      </c>
      <c r="C9" s="19">
        <f>AA9</f>
        <v/>
      </c>
      <c r="D9" s="19">
        <f>C9*0.1818</f>
        <v/>
      </c>
      <c r="E9" s="19">
        <f>SUM(C9:D9)</f>
        <v/>
      </c>
      <c r="F9" s="19">
        <f>E9*0.1111</f>
        <v/>
      </c>
      <c r="G9" s="19">
        <f>E9*0.083</f>
        <v/>
      </c>
      <c r="H9" s="19">
        <f>SUM(E9:G9)*0.08</f>
        <v/>
      </c>
      <c r="I9" s="19">
        <f>IF(E9&lt;=$F$66,E9*$G$66,IF(E9&lt;=$F$67,E9*$G$67,IF(E9&lt;=$F$68,E9*$G$68,513.0125)))</f>
        <v/>
      </c>
      <c r="J9" s="9" t="n"/>
      <c r="K9" s="10" t="n"/>
      <c r="L9" s="10" t="n"/>
      <c r="M9" s="17" t="n">
        <v>99.19</v>
      </c>
      <c r="N9" s="17" t="n">
        <v>99.19</v>
      </c>
      <c r="O9" s="17" t="n">
        <v>99.19</v>
      </c>
      <c r="P9" s="17" t="n">
        <v>45.09</v>
      </c>
      <c r="Q9" s="17" t="n">
        <v>104.46</v>
      </c>
      <c r="R9" s="17" t="n">
        <v>99.19</v>
      </c>
      <c r="S9" s="17" t="n">
        <v>99.2</v>
      </c>
      <c r="T9" s="17" t="n">
        <v>99.2</v>
      </c>
      <c r="U9" s="17" t="n">
        <v>99.2</v>
      </c>
      <c r="V9" s="17" t="n">
        <v>0</v>
      </c>
      <c r="W9" s="17" t="n">
        <v>73.26000000000001</v>
      </c>
      <c r="X9" s="17" t="n">
        <v>73.26000000000001</v>
      </c>
      <c r="Y9" s="17" t="n">
        <v>108.07</v>
      </c>
      <c r="Z9" s="17" t="n"/>
      <c r="AA9" s="18">
        <f>SUM(M9:Z9)</f>
        <v/>
      </c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</row>
    <row r="10" ht="21" customFormat="1" customHeight="1" s="98">
      <c r="A10" s="14" t="inlineStr">
        <is>
          <t>FRANCA</t>
        </is>
      </c>
      <c r="B10" s="15" t="inlineStr">
        <is>
          <t>CHAPA_20</t>
        </is>
      </c>
      <c r="C10" s="19">
        <f>AA10</f>
        <v/>
      </c>
      <c r="D10" s="19">
        <f>C10*0.1818</f>
        <v/>
      </c>
      <c r="E10" s="19">
        <f>SUM(C10:D10)</f>
        <v/>
      </c>
      <c r="F10" s="19">
        <f>E10*0.1111</f>
        <v/>
      </c>
      <c r="G10" s="19">
        <f>E10*0.083</f>
        <v/>
      </c>
      <c r="H10" s="19">
        <f>SUM(E10:G10)*0.08</f>
        <v/>
      </c>
      <c r="I10" s="23">
        <f>IF(E10&lt;=$F$66,E10*$G$66,IF(E10&lt;=$F$67,E10*$G$67,IF(E10&lt;=$F$68,E10*$G$68,513.0125)))</f>
        <v/>
      </c>
      <c r="J10" s="9" t="n"/>
      <c r="K10" s="10" t="n"/>
      <c r="L10" s="10" t="n"/>
      <c r="M10" s="17" t="n">
        <v>0</v>
      </c>
      <c r="N10" s="17" t="n">
        <v>99.19</v>
      </c>
      <c r="O10" s="17" t="n">
        <v>99.19</v>
      </c>
      <c r="P10" s="17" t="n">
        <v>0</v>
      </c>
      <c r="Q10" s="17" t="n">
        <v>104.46</v>
      </c>
      <c r="R10" s="17" t="n">
        <v>99.19</v>
      </c>
      <c r="S10" s="17" t="n">
        <v>99.19</v>
      </c>
      <c r="T10" s="17" t="n">
        <v>99.2</v>
      </c>
      <c r="U10" s="17" t="n">
        <v>99.2</v>
      </c>
      <c r="V10" s="17" t="n">
        <v>0</v>
      </c>
      <c r="W10" s="17" t="n">
        <v>99.19</v>
      </c>
      <c r="X10" s="17" t="n">
        <v>99.19</v>
      </c>
      <c r="Y10" s="17" t="n">
        <v>130.48</v>
      </c>
      <c r="Z10" s="17" t="n"/>
      <c r="AA10" s="18">
        <f>SUM(M10:Z10)</f>
        <v/>
      </c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</row>
    <row r="11" ht="21" customFormat="1" customHeight="1" s="98">
      <c r="A11" s="14" t="inlineStr">
        <is>
          <t>FRANCA</t>
        </is>
      </c>
      <c r="B11" s="91" t="inlineStr">
        <is>
          <t>CHAPA_22</t>
        </is>
      </c>
      <c r="C11" s="10">
        <f>AA11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6">
        <f>IF(E11&lt;=$F$66,E11*$G$66,IF(E11&lt;=$F$67,E11*$G$67,IF(E11&lt;=$F$68,E11*$G$68,513.0125)))</f>
        <v/>
      </c>
      <c r="J11" s="9" t="n"/>
      <c r="K11" s="10" t="n"/>
      <c r="L11" s="10" t="n"/>
      <c r="M11" s="17" t="n">
        <v>99.19</v>
      </c>
      <c r="N11" s="17" t="n">
        <v>0</v>
      </c>
      <c r="O11" s="17" t="n">
        <v>99.19</v>
      </c>
      <c r="P11" s="17" t="n">
        <v>45.09</v>
      </c>
      <c r="Q11" s="17" t="n">
        <v>0</v>
      </c>
      <c r="R11" s="17" t="n">
        <v>99.19</v>
      </c>
      <c r="S11" s="17" t="n">
        <v>99.19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/>
      <c r="AA11" s="18">
        <f>SUM(M11:Z11)</f>
        <v/>
      </c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</row>
    <row r="12" ht="21" customFormat="1" customHeight="1" s="98">
      <c r="A12" s="14" t="inlineStr">
        <is>
          <t>FRANCA</t>
        </is>
      </c>
      <c r="B12" s="15" t="inlineStr">
        <is>
          <t>CHAPA_38</t>
        </is>
      </c>
      <c r="C12" s="10">
        <f>AA12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IF(E12&lt;=$F$66,E12*$G$66,IF(E12&lt;=$F$67,E12*$G$67,IF(E12&lt;=$F$68,E12*$G$68,513.0125)))</f>
        <v/>
      </c>
      <c r="J12" s="9" t="n"/>
      <c r="K12" s="10" t="n"/>
      <c r="L12" s="10" t="n"/>
      <c r="M12" s="17" t="n">
        <v>158.36</v>
      </c>
      <c r="N12" s="17" t="n">
        <v>99.19</v>
      </c>
      <c r="O12" s="17" t="n">
        <v>99.2</v>
      </c>
      <c r="P12" s="17" t="n">
        <v>45.09</v>
      </c>
      <c r="Q12" s="17" t="n">
        <v>104.46</v>
      </c>
      <c r="R12" s="17" t="n">
        <v>99.2</v>
      </c>
      <c r="S12" s="17" t="n">
        <v>99.19</v>
      </c>
      <c r="T12" s="17" t="n">
        <v>116.09</v>
      </c>
      <c r="U12" s="17" t="n">
        <v>99.19</v>
      </c>
      <c r="V12" s="17" t="n">
        <v>0</v>
      </c>
      <c r="W12" s="17" t="n">
        <v>99.20999999999999</v>
      </c>
      <c r="X12" s="17" t="n">
        <v>99.19</v>
      </c>
      <c r="Y12" s="17" t="n">
        <v>148.62</v>
      </c>
      <c r="Z12" s="17" t="n"/>
      <c r="AA12" s="18">
        <f>SUM(M12:Z12)</f>
        <v/>
      </c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</row>
    <row r="13" ht="21" customFormat="1" customHeight="1" s="98">
      <c r="A13" s="14" t="inlineStr">
        <is>
          <t>FRANCA</t>
        </is>
      </c>
      <c r="B13" s="15" t="inlineStr">
        <is>
          <t>CHAPA_40</t>
        </is>
      </c>
      <c r="C13" s="10">
        <f>AA13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IF(E13&lt;=$F$66,E13*$G$66,IF(E13&lt;=$F$67,E13*$G$67,IF(E13&lt;=$F$68,E13*$G$68,513.0125)))</f>
        <v/>
      </c>
      <c r="J13" s="9" t="n"/>
      <c r="K13" s="10" t="n"/>
      <c r="L13" s="10" t="n"/>
      <c r="M13" s="17" t="n">
        <v>45.07</v>
      </c>
      <c r="N13" s="17" t="n">
        <v>45.07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/>
      <c r="AA13" s="18">
        <f>SUM(M13:Z13)</f>
        <v/>
      </c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</row>
    <row r="14" ht="21" customFormat="1" customHeight="1" s="98">
      <c r="A14" s="14" t="inlineStr">
        <is>
          <t>FRANCA</t>
        </is>
      </c>
      <c r="B14" s="15" t="inlineStr">
        <is>
          <t>CHAPA_41</t>
        </is>
      </c>
      <c r="C14" s="10">
        <f>AA14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IF(E14&lt;=$F$66,E14*$G$66,IF(E14&lt;=$F$67,E14*$G$67,IF(E14&lt;=$F$68,E14*$G$68,513.0125)))</f>
        <v/>
      </c>
      <c r="J14" s="9" t="n"/>
      <c r="K14" s="10" t="n"/>
      <c r="L14" s="10" t="n"/>
      <c r="M14" s="17" t="n">
        <v>99.22</v>
      </c>
      <c r="N14" s="17" t="n">
        <v>99.20999999999999</v>
      </c>
      <c r="O14" s="17" t="n">
        <v>99.2</v>
      </c>
      <c r="P14" s="17" t="n">
        <v>45.08</v>
      </c>
      <c r="Q14" s="17" t="n">
        <v>104.46</v>
      </c>
      <c r="R14" s="17" t="n">
        <v>99.2</v>
      </c>
      <c r="S14" s="17" t="n">
        <v>99.19</v>
      </c>
      <c r="T14" s="17" t="n">
        <v>99.19</v>
      </c>
      <c r="U14" s="17" t="n">
        <v>99.19</v>
      </c>
      <c r="V14" s="17" t="n">
        <v>45.08</v>
      </c>
      <c r="W14" s="17" t="n">
        <v>99.19</v>
      </c>
      <c r="X14" s="17" t="n">
        <v>99.19</v>
      </c>
      <c r="Y14" s="17" t="n">
        <v>0</v>
      </c>
      <c r="Z14" s="17" t="n"/>
      <c r="AA14" s="18">
        <f>SUM(M14:Z14)</f>
        <v/>
      </c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</row>
    <row r="15" ht="21" customFormat="1" customHeight="1" s="98">
      <c r="A15" s="14" t="inlineStr">
        <is>
          <t>FRANCA</t>
        </is>
      </c>
      <c r="B15" s="22" t="inlineStr">
        <is>
          <t>CHAPA_42</t>
        </is>
      </c>
      <c r="C15" s="10">
        <f>AA15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IF(E15&lt;=$F$66,E15*$G$66,IF(E15&lt;=$F$67,E15*$G$67,IF(E15&lt;=$F$68,E15*$G$68,513.0125)))</f>
        <v/>
      </c>
      <c r="J15" s="9" t="n"/>
      <c r="K15" s="10" t="n"/>
      <c r="L15" s="10" t="n"/>
      <c r="M15" s="17" t="n">
        <v>99.20999999999999</v>
      </c>
      <c r="N15" s="17" t="n">
        <v>133</v>
      </c>
      <c r="O15" s="17" t="n">
        <v>99.19</v>
      </c>
      <c r="P15" s="17" t="n">
        <v>45.08</v>
      </c>
      <c r="Q15" s="17" t="n">
        <v>104.46</v>
      </c>
      <c r="R15" s="17" t="n">
        <v>99.19</v>
      </c>
      <c r="S15" s="17" t="n">
        <v>99.19</v>
      </c>
      <c r="T15" s="17" t="n">
        <v>99.19</v>
      </c>
      <c r="U15" s="17" t="n">
        <v>99.19</v>
      </c>
      <c r="V15" s="17" t="n">
        <v>45.08</v>
      </c>
      <c r="W15" s="17" t="n">
        <v>99.19</v>
      </c>
      <c r="X15" s="17" t="n">
        <v>124.55</v>
      </c>
      <c r="Y15" s="17" t="n">
        <v>148.6</v>
      </c>
      <c r="Z15" s="17" t="n"/>
      <c r="AA15" s="18">
        <f>SUM(M15:Z15)</f>
        <v/>
      </c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</row>
    <row r="16" ht="21" customFormat="1" customHeight="1" s="98">
      <c r="A16" s="14" t="inlineStr">
        <is>
          <t>FRANCA</t>
        </is>
      </c>
      <c r="B16" s="15" t="inlineStr">
        <is>
          <t>CHAPA_43</t>
        </is>
      </c>
      <c r="C16" s="10">
        <f>AA16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IF(E16&lt;=$F$66,E16*$G$66,IF(E16&lt;=$F$67,E16*$G$67,IF(E16&lt;=$F$68,E16*$G$68,513.0125)))</f>
        <v/>
      </c>
      <c r="J16" s="9" t="n"/>
      <c r="K16" s="10" t="n"/>
      <c r="L16" s="10" t="n"/>
      <c r="M16" s="17" t="n">
        <v>99.19</v>
      </c>
      <c r="N16" s="17" t="n">
        <v>99.20999999999999</v>
      </c>
      <c r="O16" s="17" t="n">
        <v>99.19</v>
      </c>
      <c r="P16" s="17" t="n">
        <v>45.08</v>
      </c>
      <c r="Q16" s="17" t="n">
        <v>45.08</v>
      </c>
      <c r="R16" s="17" t="n">
        <v>99.19</v>
      </c>
      <c r="S16" s="17" t="n">
        <v>99.19</v>
      </c>
      <c r="T16" s="17" t="n">
        <v>99.19</v>
      </c>
      <c r="U16" s="17" t="n">
        <v>0</v>
      </c>
      <c r="V16" s="17" t="n">
        <v>33.81</v>
      </c>
      <c r="W16" s="17" t="n">
        <v>99.19</v>
      </c>
      <c r="X16" s="17" t="n">
        <v>99.19</v>
      </c>
      <c r="Y16" s="17" t="n">
        <v>148.6</v>
      </c>
      <c r="Z16" s="17" t="n"/>
      <c r="AA16" s="18">
        <f>SUM(M16:Z16)</f>
        <v/>
      </c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</row>
    <row r="17" ht="21" customFormat="1" customHeight="1" s="98">
      <c r="A17" s="14" t="inlineStr">
        <is>
          <t>FRANCA</t>
        </is>
      </c>
      <c r="B17" s="15" t="inlineStr">
        <is>
          <t>CHAPA_17</t>
        </is>
      </c>
      <c r="C17" s="10">
        <f>AA17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IF(E17&lt;=$F$66,E17*$G$66,IF(E17&lt;=$F$67,E17*$G$67,IF(E17&lt;=$F$68,E17*$G$68,513.0125)))</f>
        <v/>
      </c>
      <c r="J17" s="9" t="n"/>
      <c r="K17" s="10" t="n"/>
      <c r="L17" s="10" t="n"/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99.19</v>
      </c>
      <c r="T17" s="17" t="n">
        <v>99.19</v>
      </c>
      <c r="U17" s="17" t="n">
        <v>99.19</v>
      </c>
      <c r="V17" s="17" t="n">
        <v>0</v>
      </c>
      <c r="W17" s="17" t="n">
        <v>99.19</v>
      </c>
      <c r="X17" s="17" t="n">
        <v>99.2</v>
      </c>
      <c r="Y17" s="17" t="n">
        <v>148.6</v>
      </c>
      <c r="Z17" s="17" t="n"/>
      <c r="AA17" s="18">
        <f>SUM(M17:Z17)</f>
        <v/>
      </c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</row>
    <row r="18" ht="21" customFormat="1" customHeight="1" s="98">
      <c r="A18" s="14" t="inlineStr">
        <is>
          <t>FRANCA</t>
        </is>
      </c>
      <c r="B18" s="15" t="inlineStr">
        <is>
          <t>CHAPA_47</t>
        </is>
      </c>
      <c r="C18" s="10">
        <f>AA18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IF(E18&lt;=$F$66,E18*$G$66,IF(E18&lt;=$F$67,E18*$G$67,IF(E18&lt;=$F$68,E18*$G$68,513.0125)))</f>
        <v/>
      </c>
      <c r="J18" s="9" t="n"/>
      <c r="K18" s="10" t="n"/>
      <c r="L18" s="10" t="n"/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99.19</v>
      </c>
      <c r="U18" s="17" t="n">
        <v>99.19</v>
      </c>
      <c r="V18" s="17" t="n">
        <v>45.08</v>
      </c>
      <c r="W18" s="17" t="n">
        <v>99.19</v>
      </c>
      <c r="X18" s="17" t="n">
        <v>99.2</v>
      </c>
      <c r="Y18" s="17" t="n">
        <v>0</v>
      </c>
      <c r="Z18" s="17" t="n"/>
      <c r="AA18" s="18">
        <f>SUM(M18:Z18)</f>
        <v/>
      </c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</row>
    <row r="19" ht="21" customFormat="1" customHeight="1" s="98">
      <c r="A19" s="14" t="inlineStr">
        <is>
          <t>FRANCA</t>
        </is>
      </c>
      <c r="B19" s="22" t="inlineStr">
        <is>
          <t>CHAPA_07</t>
        </is>
      </c>
      <c r="C19" s="10">
        <f>AA19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IF(E19&lt;=$F$66,E19*$G$66,IF(E19&lt;=$F$67,E19*$G$67,IF(E19&lt;=$F$68,E19*$G$68,513.0125)))</f>
        <v/>
      </c>
      <c r="J19" s="9" t="n"/>
      <c r="K19" s="10" t="n"/>
      <c r="L19" s="10" t="n"/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99.2</v>
      </c>
      <c r="Y19" s="17" t="n">
        <v>0</v>
      </c>
      <c r="Z19" s="17" t="n"/>
      <c r="AA19" s="18">
        <f>SUM(M19:Z19)</f>
        <v/>
      </c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</row>
    <row r="20" ht="21" customFormat="1" customHeight="1" s="98">
      <c r="A20" s="14" t="inlineStr">
        <is>
          <t>FRANCA</t>
        </is>
      </c>
      <c r="B20" s="15" t="n"/>
      <c r="C20" s="10">
        <f>AA20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IF(E20&lt;=$F$66,E20*$G$66,IF(E20&lt;=$F$67,E20*$G$67,IF(E20&lt;=$F$68,E20*$G$68,513.0125)))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8">
        <f>SUM(M20:Z20)</f>
        <v/>
      </c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</row>
    <row r="21" ht="21" customFormat="1" customHeight="1" s="98">
      <c r="A21" s="14" t="inlineStr">
        <is>
          <t>FRANCA</t>
        </is>
      </c>
      <c r="B21" s="15" t="n"/>
      <c r="C21" s="10">
        <f>AA21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IF(E21&lt;=$F$66,E21*$G$66,IF(E21&lt;=$F$67,E21*$G$67,IF(E21&lt;=$F$68,E21*$G$68,513.0125)))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8">
        <f>SUM(M21:Z21)</f>
        <v/>
      </c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</row>
    <row r="22" ht="21" customFormat="1" customHeight="1" s="98">
      <c r="A22" s="14" t="inlineStr">
        <is>
          <t>FRANCA</t>
        </is>
      </c>
      <c r="B22" s="15" t="n"/>
      <c r="C22" s="10">
        <f>AA22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IF(E22&lt;=$F$66,E22*$G$66,IF(E22&lt;=$F$67,E22*$G$67,IF(E22&lt;=$F$68,E22*$G$68,513.0125)))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>
        <f>SUM(M22:Z22)</f>
        <v/>
      </c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</row>
    <row r="23" ht="21" customFormat="1" customHeight="1" s="98">
      <c r="A23" s="14" t="inlineStr">
        <is>
          <t>FRANCA</t>
        </is>
      </c>
      <c r="B23" s="24" t="n"/>
      <c r="C23" s="10">
        <f>AA23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IF(E23&lt;=$F$66,E23*$G$66,IF(E23&lt;=$F$67,E23*$G$67,IF(E23&lt;=$F$68,E23*$G$68,513.0125)))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8">
        <f>SUM(M23:Z23)</f>
        <v/>
      </c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</row>
    <row r="24" ht="21" customFormat="1" customHeight="1" s="98">
      <c r="A24" s="14" t="inlineStr">
        <is>
          <t>FRANCA</t>
        </is>
      </c>
      <c r="B24" s="15" t="n"/>
      <c r="C24" s="10">
        <f>AA24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IF(E24&lt;=$F$66,E24*$G$66,IF(E24&lt;=$F$67,E24*$G$67,IF(E24&lt;=$F$68,E24*$G$68,513.0125)))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8">
        <f>SUM(M24:Z24)</f>
        <v/>
      </c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</row>
    <row r="25" ht="21.6" customFormat="1" customHeight="1" s="98" thickBot="1">
      <c r="A25" s="25" t="n"/>
      <c r="B25" s="15" t="n"/>
      <c r="C25" s="26">
        <f>AA25</f>
        <v/>
      </c>
      <c r="D25" s="26">
        <f>C25*0.1818</f>
        <v/>
      </c>
      <c r="E25" s="26">
        <f>SUM(C25:D25)</f>
        <v/>
      </c>
      <c r="F25" s="26">
        <f>E25*0.1111</f>
        <v/>
      </c>
      <c r="G25" s="26">
        <f>E25*0.083</f>
        <v/>
      </c>
      <c r="H25" s="26">
        <f>SUM(E25:G25)*0.08</f>
        <v/>
      </c>
      <c r="I25" s="27">
        <f>IF(E25&lt;=$F$66,E25*$G$66,IF(E25&lt;=$F$67,E25*$G$67,IF(E25&lt;=$F$68,E25*$G$68,513.0125)))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8">
        <f>SUM(M25:Z25)</f>
        <v/>
      </c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</row>
    <row r="26" ht="21" customFormat="1" customHeight="1" s="98" thickBot="1">
      <c r="A26" s="10" t="n"/>
      <c r="B26" s="15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28">
        <f>COUNT(M25:M25)</f>
        <v/>
      </c>
      <c r="N26" s="28">
        <f>COUNT(N25:N25)</f>
        <v/>
      </c>
      <c r="O26" s="28">
        <f>COUNT(O25:O25)</f>
        <v/>
      </c>
      <c r="P26" s="28">
        <f>COUNT(P25:P25)</f>
        <v/>
      </c>
      <c r="Q26" s="28">
        <f>COUNT(Q25:Q25)</f>
        <v/>
      </c>
      <c r="R26" s="28">
        <f>COUNT(R25:R25)</f>
        <v/>
      </c>
      <c r="S26" s="28">
        <f>COUNT(S25:S25)</f>
        <v/>
      </c>
      <c r="T26" s="28" t="n"/>
      <c r="U26" s="28">
        <f>COUNT(U25:U25)</f>
        <v/>
      </c>
      <c r="V26" s="28">
        <f>COUNT(V25:V25)</f>
        <v/>
      </c>
      <c r="W26" s="28" t="n"/>
      <c r="X26" s="28" t="n"/>
      <c r="Y26" s="28" t="n"/>
      <c r="Z26" s="28" t="n"/>
      <c r="AA26" s="10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</row>
    <row r="27" ht="21.6" customFormat="1" customHeight="1" s="98" thickBot="1">
      <c r="J27" s="10" t="n"/>
      <c r="K27" s="10" t="n"/>
      <c r="L27" s="10" t="n"/>
      <c r="M27" s="29" t="inlineStr">
        <is>
          <t>TOTAL GERAL / BOLETIM ENSACADORES:</t>
        </is>
      </c>
      <c r="N27" s="30" t="n"/>
      <c r="O27" s="30" t="n"/>
      <c r="P27" s="30" t="n"/>
      <c r="Q27" s="30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2" t="inlineStr">
        <is>
          <t>TOTAL:</t>
        </is>
      </c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</row>
    <row r="28" ht="21.6" customFormat="1" customHeight="1" s="98" thickBot="1">
      <c r="A28" s="36" t="inlineStr">
        <is>
          <t>MÉDIA DIÁRIA CHAPAS</t>
        </is>
      </c>
      <c r="B28" s="36" t="n"/>
      <c r="C28" s="37" t="n">
        <v>11</v>
      </c>
      <c r="J28" s="10" t="n"/>
      <c r="K28" s="10" t="n"/>
      <c r="L28" s="10" t="n"/>
      <c r="M28" s="33">
        <f>SUM(M6:M25)</f>
        <v/>
      </c>
      <c r="N28" s="33">
        <f>SUM(N6:N25)</f>
        <v/>
      </c>
      <c r="O28" s="33">
        <f>SUM(O6:O25)</f>
        <v/>
      </c>
      <c r="P28" s="33">
        <f>SUM(P6:P25)</f>
        <v/>
      </c>
      <c r="Q28" s="33">
        <f>SUM(Q6:Q25)</f>
        <v/>
      </c>
      <c r="R28" s="33">
        <f>SUM(R6:R25)</f>
        <v/>
      </c>
      <c r="S28" s="33">
        <f>SUM(S6:S25)</f>
        <v/>
      </c>
      <c r="T28" s="33">
        <f>SUM(T6:T25)</f>
        <v/>
      </c>
      <c r="U28" s="33">
        <f>SUM(U6:U25)</f>
        <v/>
      </c>
      <c r="V28" s="33">
        <f>SUM(V6:V25)</f>
        <v/>
      </c>
      <c r="W28" s="33">
        <f>SUM(W6:W25)</f>
        <v/>
      </c>
      <c r="X28" s="33">
        <f>SUM(X6:X25)</f>
        <v/>
      </c>
      <c r="Y28" s="33">
        <f>SUM(Y6:Y25)</f>
        <v/>
      </c>
      <c r="Z28" s="33">
        <f>SUM(Z6:Z25)</f>
        <v/>
      </c>
      <c r="AA28" s="34" t="n"/>
      <c r="AB28" s="35">
        <f>SUM(M28:Z28)</f>
        <v/>
      </c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</row>
    <row r="29" ht="20.4" customFormat="1" customHeight="1" s="98">
      <c r="J29" s="10" t="n"/>
      <c r="K29" s="10" t="n"/>
      <c r="L29" s="10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</row>
    <row r="30" ht="20.4" customFormat="1" customHeight="1" s="98"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</row>
    <row r="31" ht="20.4" customFormat="1" customHeight="1" s="100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  <c r="AL31" s="99" t="n"/>
      <c r="AM31" s="99" t="n"/>
      <c r="AN31" s="99" t="n"/>
    </row>
    <row r="32" ht="21.6" customFormat="1" customHeight="1" s="98" thickBot="1">
      <c r="A32" s="38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</row>
    <row r="33" ht="21" customFormat="1" customHeight="1" s="98" thickBot="1">
      <c r="A33" s="111" t="inlineStr">
        <is>
          <t>2ª QUINZENA</t>
        </is>
      </c>
      <c r="B33" s="107" t="n"/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8" t="n"/>
      <c r="L33" s="4" t="n"/>
      <c r="M33" s="112" t="inlineStr">
        <is>
          <t xml:space="preserve">TOTAL </t>
        </is>
      </c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10" t="n"/>
      <c r="AC33" s="2" t="n"/>
      <c r="AD33" s="2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</row>
    <row r="34" ht="21.6" customFormat="1" customHeight="1" s="98" thickBot="1">
      <c r="A34" s="40" t="inlineStr">
        <is>
          <t>LOCAL</t>
        </is>
      </c>
      <c r="B34" s="40" t="inlineStr">
        <is>
          <t>NOME</t>
        </is>
      </c>
      <c r="C34" s="41" t="inlineStr">
        <is>
          <t>DIÁRIA</t>
        </is>
      </c>
      <c r="D34" s="41" t="inlineStr">
        <is>
          <t>DSR</t>
        </is>
      </c>
      <c r="E34" s="41" t="inlineStr">
        <is>
          <t>TOTAL</t>
        </is>
      </c>
      <c r="F34" s="41" t="inlineStr">
        <is>
          <t>FÉRIAS</t>
        </is>
      </c>
      <c r="G34" s="41" t="inlineStr">
        <is>
          <t>13º SALÁRIO</t>
        </is>
      </c>
      <c r="H34" s="41" t="inlineStr">
        <is>
          <t>FGTS</t>
        </is>
      </c>
      <c r="I34" s="42" t="inlineStr">
        <is>
          <t>T. 1º Q.</t>
        </is>
      </c>
      <c r="J34" s="42" t="inlineStr">
        <is>
          <t>INSS 1º</t>
        </is>
      </c>
      <c r="K34" s="43" t="inlineStr">
        <is>
          <t>INSS</t>
        </is>
      </c>
      <c r="L34" s="9" t="n"/>
      <c r="M34" s="44" t="n">
        <v>45946</v>
      </c>
      <c r="N34" s="44" t="n">
        <v>45947</v>
      </c>
      <c r="O34" s="44" t="n">
        <v>45948</v>
      </c>
      <c r="P34" s="44" t="n">
        <v>45950</v>
      </c>
      <c r="Q34" s="44" t="n">
        <v>45951</v>
      </c>
      <c r="R34" s="44" t="n">
        <v>45952</v>
      </c>
      <c r="S34" s="44" t="n">
        <v>45953</v>
      </c>
      <c r="T34" s="44" t="n">
        <v>45954</v>
      </c>
      <c r="U34" s="44" t="n">
        <v>45955</v>
      </c>
      <c r="V34" s="44" t="n">
        <v>45957</v>
      </c>
      <c r="W34" s="44" t="n">
        <v>45958</v>
      </c>
      <c r="X34" s="44" t="n">
        <v>45959</v>
      </c>
      <c r="Y34" s="44" t="n">
        <v>45960</v>
      </c>
      <c r="Z34" s="44" t="n">
        <v>45961</v>
      </c>
      <c r="AA34" s="8" t="inlineStr">
        <is>
          <t>TOTAL</t>
        </is>
      </c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</row>
    <row r="35" ht="21" customFormat="1" customHeight="1" s="98">
      <c r="A35" s="46" t="inlineStr">
        <is>
          <t>FRANCA</t>
        </is>
      </c>
      <c r="B35" s="22" t="inlineStr">
        <is>
          <t>CHAPA_06</t>
        </is>
      </c>
      <c r="C35" s="10">
        <f>AA35</f>
        <v/>
      </c>
      <c r="D35" s="10">
        <f>C35*0.1818</f>
        <v/>
      </c>
      <c r="E35" s="10">
        <f>SUM(C35:D35)</f>
        <v/>
      </c>
      <c r="F35" s="10">
        <f>E35*0.1111</f>
        <v/>
      </c>
      <c r="G35" s="10">
        <f>E35*0.083</f>
        <v/>
      </c>
      <c r="H35" s="10">
        <f>SUM(E35:G35)*0.08</f>
        <v/>
      </c>
      <c r="I35" s="10">
        <f>IF(E35&lt;=$F$66,E35*$G$66,IF(E35&lt;=$F$67,E35*$G$67,IF(E35&lt;=$F$68,E35*$G$68,513.0125)))</f>
        <v/>
      </c>
      <c r="J35" s="88">
        <f>IF(#REF!=0,0,VLOOKUP(B35,$B$6:$I$25,8,0))</f>
        <v/>
      </c>
      <c r="K35" s="89">
        <f>IF(E35+I35&lt;=$K$59,(E35+I35)*J69-J35,IF(E35+I35&lt;=$K$60,(E35+I35)*J70-J35,IF(E35+I35&lt;=$K$61,(E35+I35)*L71-J35,513.0125)))</f>
        <v/>
      </c>
      <c r="L35" s="9" t="n"/>
      <c r="M35" s="17" t="n">
        <v>106.8</v>
      </c>
      <c r="N35" s="17" t="n">
        <v>99.19</v>
      </c>
      <c r="O35" s="17" t="n">
        <v>0</v>
      </c>
      <c r="P35" s="17" t="n">
        <v>99.19</v>
      </c>
      <c r="Q35" s="17" t="n">
        <v>0</v>
      </c>
      <c r="R35" s="17" t="n">
        <v>73.25</v>
      </c>
      <c r="S35" s="17" t="n">
        <v>99.19</v>
      </c>
      <c r="T35" s="17" t="n">
        <v>99.19</v>
      </c>
      <c r="U35" s="17" t="n">
        <v>0</v>
      </c>
      <c r="V35" s="17" t="n">
        <v>123.67</v>
      </c>
      <c r="W35" s="17" t="n">
        <v>132.25</v>
      </c>
      <c r="X35" s="17" t="n">
        <v>123.07</v>
      </c>
      <c r="Y35" s="17" t="n">
        <v>0</v>
      </c>
      <c r="Z35" s="17" t="n">
        <v>67.63</v>
      </c>
      <c r="AA35" s="49">
        <f>SUM(M35:Z35)</f>
        <v/>
      </c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</row>
    <row r="36" ht="21" customFormat="1" customHeight="1" s="98">
      <c r="A36" s="46" t="inlineStr">
        <is>
          <t>FRANCA</t>
        </is>
      </c>
      <c r="B36" s="24" t="inlineStr">
        <is>
          <t>CHAPA_07</t>
        </is>
      </c>
      <c r="C36" s="90">
        <f>AA36</f>
        <v/>
      </c>
      <c r="D36" s="90">
        <f>C36*0.1818</f>
        <v/>
      </c>
      <c r="E36" s="90">
        <f>SUM(C36:D36)</f>
        <v/>
      </c>
      <c r="F36" s="90">
        <f>E36*0.1111</f>
        <v/>
      </c>
      <c r="G36" s="90">
        <f>E36*0.083</f>
        <v/>
      </c>
      <c r="H36" s="90">
        <f>SUM(E36:G36)*0.08</f>
        <v/>
      </c>
      <c r="I36" s="88">
        <f>AA6</f>
        <v/>
      </c>
      <c r="J36" s="88">
        <f>IF(I6=0,0,VLOOKUP(B35,$B$6:$I$25,8,0))</f>
        <v/>
      </c>
      <c r="K36" s="89">
        <f>IF(E36+I36&lt;=$K$59,(E36+I36)*J70-J36,IF(E36+I36&lt;=$K$60,(E36+I36)*J71-J36,IF(E36+I36&lt;=$K$61,(E36+I36)*L72-J36,513.0125)))</f>
        <v/>
      </c>
      <c r="L36" s="9" t="n"/>
      <c r="M36" s="17" t="n">
        <v>106.8</v>
      </c>
      <c r="N36" s="17" t="n">
        <v>99.19</v>
      </c>
      <c r="O36" s="17" t="n">
        <v>0</v>
      </c>
      <c r="P36" s="17" t="n">
        <v>99.19</v>
      </c>
      <c r="Q36" s="17" t="n">
        <v>99.19</v>
      </c>
      <c r="R36" s="17" t="n">
        <v>149.91</v>
      </c>
      <c r="S36" s="17" t="n">
        <v>149.91</v>
      </c>
      <c r="T36" s="17" t="n">
        <v>99.19</v>
      </c>
      <c r="U36" s="17" t="n">
        <v>0</v>
      </c>
      <c r="V36" s="21" t="n">
        <v>99.19</v>
      </c>
      <c r="W36" s="21" t="n">
        <v>99.19</v>
      </c>
      <c r="X36" s="21" t="n">
        <v>137.88</v>
      </c>
      <c r="Y36" s="21" t="n">
        <v>99.19</v>
      </c>
      <c r="Z36" s="21" t="n">
        <v>99.19</v>
      </c>
      <c r="AA36" s="49">
        <f>SUM(M36:Z36)</f>
        <v/>
      </c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</row>
    <row r="37" ht="21" customFormat="1" customHeight="1" s="98">
      <c r="A37" s="46" t="inlineStr">
        <is>
          <t>FRANCA</t>
        </is>
      </c>
      <c r="B37" s="22" t="inlineStr">
        <is>
          <t>CHAPA_09</t>
        </is>
      </c>
      <c r="C37" s="10">
        <f>AA37</f>
        <v/>
      </c>
      <c r="D37" s="10">
        <f>C37*0.1818</f>
        <v/>
      </c>
      <c r="E37" s="10">
        <f>SUM(C37:D37)</f>
        <v/>
      </c>
      <c r="F37" s="10">
        <f>E37*0.1111</f>
        <v/>
      </c>
      <c r="G37" s="10">
        <f>E37*0.083</f>
        <v/>
      </c>
      <c r="H37" s="10">
        <f>SUM(E37:G37)*0.08</f>
        <v/>
      </c>
      <c r="I37" s="10">
        <f>IF(E37&lt;=$F$66,E37*$G$66,IF(E37&lt;=$F$67,E37*$G$67,IF(E37&lt;=$F$68,E37*$G$68,513.0125)))</f>
        <v/>
      </c>
      <c r="J37" s="88">
        <f>IF(I8=0,0,VLOOKUP(B37,$B$6:$I$25,8,0))</f>
        <v/>
      </c>
      <c r="K37" s="89">
        <f>IF(E37+I37&lt;=$K$59,(E37+I37)*J71-J37,IF(E37+I37&lt;=$K$60,(E37+I37)*J72-J37,IF(E37+I37&lt;=$K$61,(E37+I37)*L73-J37,513.0125)))</f>
        <v/>
      </c>
      <c r="L37" s="9" t="n"/>
      <c r="M37" s="17" t="n">
        <v>106.8</v>
      </c>
      <c r="N37" s="17" t="n">
        <v>99.19</v>
      </c>
      <c r="O37" s="17" t="n">
        <v>45.09</v>
      </c>
      <c r="P37" s="17" t="n">
        <v>99.19</v>
      </c>
      <c r="Q37" s="17" t="n">
        <v>107.64</v>
      </c>
      <c r="R37" s="17" t="n">
        <v>149.91</v>
      </c>
      <c r="S37" s="17" t="n">
        <v>149.91</v>
      </c>
      <c r="T37" s="17" t="n">
        <v>78.90000000000001</v>
      </c>
      <c r="U37" s="17" t="n">
        <v>0</v>
      </c>
      <c r="V37" s="17" t="n">
        <v>0</v>
      </c>
      <c r="W37" s="17" t="n">
        <v>132.25</v>
      </c>
      <c r="X37" s="17" t="n">
        <v>123.07</v>
      </c>
      <c r="Y37" s="17" t="n">
        <v>155.2</v>
      </c>
      <c r="Z37" s="17" t="n">
        <v>133.91</v>
      </c>
      <c r="AA37" s="49">
        <f>SUM(M37:Z37)</f>
        <v/>
      </c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</row>
    <row r="38" ht="21" customFormat="1" customHeight="1" s="98">
      <c r="A38" s="46" t="inlineStr">
        <is>
          <t>FRANCA</t>
        </is>
      </c>
      <c r="B38" s="24" t="inlineStr">
        <is>
          <t>CHAPA_15</t>
        </is>
      </c>
      <c r="C38" s="10">
        <f>AA38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IF(E38&lt;=$F$66,E38*$G$66,IF(E38&lt;=$F$67,E38*$G$67,IF(E38&lt;=$F$68,E38*$G$68,513.0125)))</f>
        <v/>
      </c>
      <c r="J38" s="88">
        <f>IF(I9=0,0,VLOOKUP(B38,$B$6:$I$25,8,0))</f>
        <v/>
      </c>
      <c r="K38" s="89">
        <f>IF(E38+I38&lt;=$K$59,(E38+I38)*J72-J38,IF(E38+I38&lt;=$K$60,(E38+I38)*J73-J38,IF(E38+I38&lt;=$K$61,(E38+I38)*L74-J38,513.0125)))</f>
        <v/>
      </c>
      <c r="L38" s="9" t="n"/>
      <c r="M38" s="17" t="n">
        <v>86.14</v>
      </c>
      <c r="N38" s="17" t="n">
        <v>73.25</v>
      </c>
      <c r="O38" s="17" t="n">
        <v>45.09</v>
      </c>
      <c r="P38" s="17" t="n">
        <v>99.19</v>
      </c>
      <c r="Q38" s="17" t="n">
        <v>99.19</v>
      </c>
      <c r="R38" s="17" t="n">
        <v>99.19</v>
      </c>
      <c r="S38" s="17" t="n">
        <v>99.19</v>
      </c>
      <c r="T38" s="17" t="n">
        <v>45.08</v>
      </c>
      <c r="U38" s="17" t="n">
        <v>45.08</v>
      </c>
      <c r="V38" s="17" t="n">
        <v>123.67</v>
      </c>
      <c r="W38" s="17" t="n">
        <v>132.25</v>
      </c>
      <c r="X38" s="17" t="n">
        <v>0</v>
      </c>
      <c r="Y38" s="17" t="n">
        <v>0</v>
      </c>
      <c r="Z38" s="17" t="n">
        <v>0</v>
      </c>
      <c r="AA38" s="49">
        <f>SUM(M38:Z38)</f>
        <v/>
      </c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</row>
    <row r="39" ht="21" customFormat="1" customHeight="1" s="98">
      <c r="A39" s="46" t="inlineStr">
        <is>
          <t>FRANCA</t>
        </is>
      </c>
      <c r="B39" s="15" t="inlineStr">
        <is>
          <t>CHAPA_17</t>
        </is>
      </c>
      <c r="C39" s="90">
        <f>AA39</f>
        <v/>
      </c>
      <c r="D39" s="90">
        <f>C39*0.1818</f>
        <v/>
      </c>
      <c r="E39" s="90">
        <f>SUM(C39:D39)</f>
        <v/>
      </c>
      <c r="F39" s="90">
        <f>E39*0.1111</f>
        <v/>
      </c>
      <c r="G39" s="90">
        <f>E39*0.083</f>
        <v/>
      </c>
      <c r="H39" s="90">
        <f>SUM(E39:G39)*0.08</f>
        <v/>
      </c>
      <c r="I39" s="88">
        <f>AA9</f>
        <v/>
      </c>
      <c r="J39" s="88">
        <f>IF(I9=0,0,VLOOKUP(B39,$B$6:$I$25,8,0))</f>
        <v/>
      </c>
      <c r="K39" s="89">
        <f>IF(E39+I39&lt;=$K$59,(E39+I39)*J73-J39,IF(E39+I39&lt;=$K$60,(E39+I39)*J74-J39,IF(E39+I39&lt;=$K$61,(E39+I39)*L75-J39,513.0125)))</f>
        <v/>
      </c>
      <c r="L39" s="9" t="n"/>
      <c r="M39" s="17" t="n">
        <v>106.8</v>
      </c>
      <c r="N39" s="17" t="n">
        <v>99.19</v>
      </c>
      <c r="O39" s="17" t="n">
        <v>45.09</v>
      </c>
      <c r="P39" s="17" t="n">
        <v>99.19</v>
      </c>
      <c r="Q39" s="17" t="n">
        <v>0</v>
      </c>
      <c r="R39" s="17" t="n">
        <v>67.62</v>
      </c>
      <c r="S39" s="17" t="n">
        <v>149.91</v>
      </c>
      <c r="T39" s="17" t="n">
        <v>45.08</v>
      </c>
      <c r="U39" s="17" t="n">
        <v>0</v>
      </c>
      <c r="V39" s="17" t="n">
        <v>123.67</v>
      </c>
      <c r="W39" s="17" t="n">
        <v>132.25</v>
      </c>
      <c r="X39" s="17" t="n">
        <v>123.07</v>
      </c>
      <c r="Y39" s="17" t="n">
        <v>155.2</v>
      </c>
      <c r="Z39" s="17" t="n">
        <v>133.91</v>
      </c>
      <c r="AA39" s="49">
        <f>SUM(M39:Z39)</f>
        <v/>
      </c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</row>
    <row r="40" ht="21" customFormat="1" customHeight="1" s="98">
      <c r="A40" s="46" t="inlineStr">
        <is>
          <t>FRANCA</t>
        </is>
      </c>
      <c r="B40" s="15" t="inlineStr">
        <is>
          <t>CHAPA_20</t>
        </is>
      </c>
      <c r="C40" s="10">
        <f>AA40</f>
        <v/>
      </c>
      <c r="D40" s="10">
        <f>C40*0.1818</f>
        <v/>
      </c>
      <c r="E40" s="10">
        <f>SUM(C40:D40)</f>
        <v/>
      </c>
      <c r="F40" s="10">
        <f>E40*0.1111</f>
        <v/>
      </c>
      <c r="G40" s="10">
        <f>E40*0.083</f>
        <v/>
      </c>
      <c r="H40" s="10">
        <f>SUM(E40:G40)*0.08</f>
        <v/>
      </c>
      <c r="I40" s="10">
        <f>IF(E40&lt;=$F$66,E40*$G$66,IF(E40&lt;=$F$67,E40*$G$67,IF(E40&lt;=$F$68,E40*$G$68,513.0125)))</f>
        <v/>
      </c>
      <c r="J40" s="88">
        <f>IF(#REF!=0,0,VLOOKUP(B40,$B$6:$I$25,8,0))</f>
        <v/>
      </c>
      <c r="K40" s="89">
        <f>IF(E40+I40&lt;=$K$59,(E40+I40)*J74-J40,IF(E40+I40&lt;=$K$60,(E40+I40)*J75-J40,IF(E40+I40&lt;=$K$61,(E40+I40)*L76-J40,513.0125)))</f>
        <v/>
      </c>
      <c r="L40" s="9" t="n"/>
      <c r="M40" s="17" t="n">
        <v>61.98</v>
      </c>
      <c r="N40" s="17" t="n">
        <v>0</v>
      </c>
      <c r="O40" s="17" t="n">
        <v>0</v>
      </c>
      <c r="P40" s="17" t="n">
        <v>99.19</v>
      </c>
      <c r="Q40" s="17" t="n">
        <v>99.19</v>
      </c>
      <c r="R40" s="17" t="n">
        <v>0</v>
      </c>
      <c r="S40" s="17" t="n">
        <v>45.08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49">
        <f>SUM(M40:Z40)</f>
        <v/>
      </c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</row>
    <row r="41" ht="21" customFormat="1" customHeight="1" s="98">
      <c r="A41" s="46" t="inlineStr">
        <is>
          <t>FRANCA</t>
        </is>
      </c>
      <c r="B41" s="15" t="inlineStr">
        <is>
          <t>CHAPA_38</t>
        </is>
      </c>
      <c r="C41" s="10">
        <f>AA41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IF(E41&lt;=$F$66,E41*$G$66,IF(E41&lt;=$F$67,E41*$G$67,IF(E41&lt;=$F$68,E41*$G$68,513.0125)))</f>
        <v/>
      </c>
      <c r="J41" s="88">
        <f>IF(I12=0,0,VLOOKUP(B41,$B$6:$I$25,8,0))</f>
        <v/>
      </c>
      <c r="K41" s="89">
        <f>IF(E41+I41&lt;=$K$59,(E41+I41)*J76-J41,IF(E41+I41&lt;=$K$60,(E41+I41)*J77-J41,IF(E41+I41&lt;=$K$61,(E41+I41)*L78-J41,513.0125)))</f>
        <v/>
      </c>
      <c r="L41" s="9" t="n"/>
      <c r="M41" s="17" t="n">
        <v>132.16</v>
      </c>
      <c r="N41" s="17" t="n">
        <v>45.11</v>
      </c>
      <c r="O41" s="17" t="n">
        <v>0</v>
      </c>
      <c r="P41" s="17" t="n">
        <v>0</v>
      </c>
      <c r="Q41" s="17" t="n">
        <v>0</v>
      </c>
      <c r="R41" s="17" t="n">
        <v>99.19</v>
      </c>
      <c r="S41" s="17" t="n">
        <v>107.67</v>
      </c>
      <c r="T41" s="17" t="n">
        <v>99.2</v>
      </c>
      <c r="U41" s="17" t="n">
        <v>45.09</v>
      </c>
      <c r="V41" s="17" t="n">
        <v>123.68</v>
      </c>
      <c r="W41" s="17" t="n">
        <v>132.24</v>
      </c>
      <c r="X41" s="17" t="n">
        <v>123.07</v>
      </c>
      <c r="Y41" s="17" t="n">
        <v>172.1</v>
      </c>
      <c r="Z41" s="17" t="n">
        <v>133.92</v>
      </c>
      <c r="AA41" s="49">
        <f>SUM(M41:Z41)</f>
        <v/>
      </c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</row>
    <row r="42" ht="21" customFormat="1" customHeight="1" s="98">
      <c r="A42" s="46" t="inlineStr">
        <is>
          <t>FRANCA</t>
        </is>
      </c>
      <c r="B42" s="15" t="inlineStr">
        <is>
          <t>CHAPA_41</t>
        </is>
      </c>
      <c r="C42" s="90">
        <f>AA42</f>
        <v/>
      </c>
      <c r="D42" s="90">
        <f>C42*0.1818</f>
        <v/>
      </c>
      <c r="E42" s="90">
        <f>SUM(C42:D42)</f>
        <v/>
      </c>
      <c r="F42" s="90">
        <f>E42*0.1111</f>
        <v/>
      </c>
      <c r="G42" s="90">
        <f>E42*0.083</f>
        <v/>
      </c>
      <c r="H42" s="90">
        <f>SUM(E42:G42)*0.08</f>
        <v/>
      </c>
      <c r="I42" s="88">
        <f>AA14</f>
        <v/>
      </c>
      <c r="J42" s="88">
        <f>IF(I14=0,0,VLOOKUP(#REF!,$B$6:$I$25,8,0))</f>
        <v/>
      </c>
      <c r="K42" s="89">
        <f>IF(E42+I42&lt;=$K$59,(E42+I42)*J78-J42,IF(E42+I42&lt;=$K$60,(E42+I42)*J79-J42,IF(E42+I42&lt;=$K$61,(E42+I42)*L80-J42,513.0125)))</f>
        <v/>
      </c>
      <c r="L42" s="9" t="n"/>
      <c r="M42" s="17" t="n">
        <v>106.8</v>
      </c>
      <c r="N42" s="17" t="n">
        <v>99.19</v>
      </c>
      <c r="O42" s="17" t="n">
        <v>45.08</v>
      </c>
      <c r="P42" s="17" t="n">
        <v>16.92</v>
      </c>
      <c r="Q42" s="17" t="n">
        <v>0</v>
      </c>
      <c r="R42" s="17" t="n">
        <v>99.19</v>
      </c>
      <c r="S42" s="17" t="n">
        <v>99.19</v>
      </c>
      <c r="T42" s="17" t="n">
        <v>99.2</v>
      </c>
      <c r="U42" s="17" t="n">
        <v>45.09</v>
      </c>
      <c r="V42" s="17" t="n">
        <v>123.67</v>
      </c>
      <c r="W42" s="17" t="n">
        <v>132.25</v>
      </c>
      <c r="X42" s="17" t="n">
        <v>123.07</v>
      </c>
      <c r="Y42" s="17" t="n">
        <v>155.2</v>
      </c>
      <c r="Z42" s="17" t="n">
        <v>133.92</v>
      </c>
      <c r="AA42" s="49">
        <f>SUM(M42:Z42)</f>
        <v/>
      </c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</row>
    <row r="43" ht="21" customFormat="1" customHeight="1" s="98">
      <c r="A43" s="46" t="inlineStr">
        <is>
          <t>FRANCA</t>
        </is>
      </c>
      <c r="B43" s="22" t="inlineStr">
        <is>
          <t>CHAPA_42</t>
        </is>
      </c>
      <c r="C43" s="90">
        <f>AA43</f>
        <v/>
      </c>
      <c r="D43" s="90">
        <f>C43*0.1818</f>
        <v/>
      </c>
      <c r="E43" s="90">
        <f>SUM(C43:D43)</f>
        <v/>
      </c>
      <c r="F43" s="90">
        <f>E43*0.1111</f>
        <v/>
      </c>
      <c r="G43" s="90">
        <f>E43*0.083</f>
        <v/>
      </c>
      <c r="H43" s="90">
        <f>SUM(E43:G43)*0.08</f>
        <v/>
      </c>
      <c r="I43" s="88">
        <f>AA15</f>
        <v/>
      </c>
      <c r="J43" s="88">
        <f>IF(I15=0,0,VLOOKUP(B42,$B$6:$I$25,8,0))</f>
        <v/>
      </c>
      <c r="K43" s="89">
        <f>IF(E43+I43&lt;=$K$59,(E43+I43)*J79-J43,IF(E43+I43&lt;=$K$60,(E43+I43)*J80-J43,IF(E43+I43&lt;=$K$61,(E43+I43)*L81-J43,513.0125)))</f>
        <v/>
      </c>
      <c r="L43" s="9" t="n"/>
      <c r="M43" s="17" t="n">
        <v>106.8</v>
      </c>
      <c r="N43" s="17" t="n">
        <v>116.09</v>
      </c>
      <c r="O43" s="17" t="n">
        <v>45.08</v>
      </c>
      <c r="P43" s="17" t="n">
        <v>99.19</v>
      </c>
      <c r="Q43" s="17" t="n">
        <v>99.19</v>
      </c>
      <c r="R43" s="17" t="n">
        <v>99.2</v>
      </c>
      <c r="S43" s="17" t="n">
        <v>0</v>
      </c>
      <c r="T43" s="17" t="n">
        <v>99.2</v>
      </c>
      <c r="U43" s="17" t="n">
        <v>0</v>
      </c>
      <c r="V43" s="17" t="n">
        <v>123.67</v>
      </c>
      <c r="W43" s="17" t="n">
        <v>132.25</v>
      </c>
      <c r="X43" s="17" t="n">
        <v>123.07</v>
      </c>
      <c r="Y43" s="17" t="n">
        <v>155.2</v>
      </c>
      <c r="Z43" s="17" t="n">
        <v>133.92</v>
      </c>
      <c r="AA43" s="49">
        <f>SUM(M43:Z43)</f>
        <v/>
      </c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</row>
    <row r="44" ht="21" customFormat="1" customHeight="1" s="98">
      <c r="A44" s="46" t="inlineStr">
        <is>
          <t>FRANCA</t>
        </is>
      </c>
      <c r="B44" s="15" t="inlineStr">
        <is>
          <t>CHAPA_43</t>
        </is>
      </c>
      <c r="C44" s="90">
        <f>AA44</f>
        <v/>
      </c>
      <c r="D44" s="90">
        <f>C44*0.1818</f>
        <v/>
      </c>
      <c r="E44" s="90">
        <f>SUM(C44:D44)</f>
        <v/>
      </c>
      <c r="F44" s="90">
        <f>E44*0.1111</f>
        <v/>
      </c>
      <c r="G44" s="90">
        <f>E44*0.083</f>
        <v/>
      </c>
      <c r="H44" s="90">
        <f>SUM(E44:G44)*0.08</f>
        <v/>
      </c>
      <c r="I44" s="88">
        <f>AA16</f>
        <v/>
      </c>
      <c r="J44" s="88">
        <f>IF(I16=0,0,VLOOKUP(B43,$B$6:$I$25,8,0))</f>
        <v/>
      </c>
      <c r="K44" s="89">
        <f>IF(E44+I44&lt;=$K$59,(E44+I44)*J80-J44,IF(E44+I44&lt;=$K$60,(E44+I44)*J81-J44,IF(E44+I44&lt;=$K$61,(E44+I44)*L82-J44,513.0125)))</f>
        <v/>
      </c>
      <c r="L44" s="9" t="n"/>
      <c r="M44" s="17" t="n">
        <v>106.8</v>
      </c>
      <c r="N44" s="17" t="n">
        <v>99.19</v>
      </c>
      <c r="O44" s="17" t="n">
        <v>0</v>
      </c>
      <c r="P44" s="17" t="n">
        <v>73.25</v>
      </c>
      <c r="Q44" s="17" t="n">
        <v>99.19</v>
      </c>
      <c r="R44" s="17" t="n">
        <v>99.20999999999999</v>
      </c>
      <c r="S44" s="17" t="n">
        <v>99.19</v>
      </c>
      <c r="T44" s="17" t="n">
        <v>99.19</v>
      </c>
      <c r="U44" s="17" t="n">
        <v>45.09</v>
      </c>
      <c r="V44" s="17" t="n">
        <v>55.54</v>
      </c>
      <c r="W44" s="17" t="n">
        <v>132.25</v>
      </c>
      <c r="X44" s="17" t="n">
        <v>123.07</v>
      </c>
      <c r="Y44" s="17" t="n">
        <v>155.2</v>
      </c>
      <c r="Z44" s="17" t="n">
        <v>133.92</v>
      </c>
      <c r="AA44" s="49">
        <f>SUM(M44:Z44)</f>
        <v/>
      </c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</row>
    <row r="45" ht="21" customFormat="1" customHeight="1" s="98">
      <c r="A45" s="46" t="inlineStr">
        <is>
          <t>FRANCA</t>
        </is>
      </c>
      <c r="B45" s="15" t="inlineStr">
        <is>
          <t>CHAPA_47</t>
        </is>
      </c>
      <c r="C45" s="90">
        <f>AA45</f>
        <v/>
      </c>
      <c r="D45" s="90">
        <f>C45*0.1818</f>
        <v/>
      </c>
      <c r="E45" s="90">
        <f>SUM(C45:D45)</f>
        <v/>
      </c>
      <c r="F45" s="90">
        <f>E45*0.1111</f>
        <v/>
      </c>
      <c r="G45" s="90">
        <f>E45*0.083</f>
        <v/>
      </c>
      <c r="H45" s="90">
        <f>SUM(E45:G45)*0.08</f>
        <v/>
      </c>
      <c r="I45" s="88">
        <f>AA17</f>
        <v/>
      </c>
      <c r="J45" s="88">
        <f>IF(I17=0,0,VLOOKUP(B45,$B$6:$I$25,8,0))</f>
        <v/>
      </c>
      <c r="K45" s="89">
        <f>IF(E45+I45&lt;=$K$59,(E45+I45)*J81-J45,IF(E45+I45&lt;=$K$60,(E45+I45)*J82-J45,IF(E45+I45&lt;=$K$61,(E45+I45)*L83-J45,513.0125)))</f>
        <v/>
      </c>
      <c r="L45" s="9" t="n"/>
      <c r="M45" s="17" t="n">
        <v>106.8</v>
      </c>
      <c r="N45" s="17" t="n">
        <v>99.19</v>
      </c>
      <c r="O45" s="17" t="n">
        <v>0</v>
      </c>
      <c r="P45" s="17" t="n">
        <v>99.20999999999999</v>
      </c>
      <c r="Q45" s="17" t="n">
        <v>99.20999999999999</v>
      </c>
      <c r="R45" s="17" t="n">
        <v>45.08</v>
      </c>
      <c r="S45" s="17" t="n">
        <v>99.19</v>
      </c>
      <c r="T45" s="17" t="n">
        <v>116.15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49">
        <f>SUM(M45:Z45)</f>
        <v/>
      </c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</row>
    <row r="46" ht="21" customFormat="1" customHeight="1" s="98">
      <c r="A46" s="46" t="inlineStr">
        <is>
          <t>FRANCA</t>
        </is>
      </c>
      <c r="B46" s="15" t="inlineStr">
        <is>
          <t>CHAPA_31</t>
        </is>
      </c>
      <c r="C46" s="90" t="n">
        <v>0</v>
      </c>
      <c r="D46" s="90">
        <f>C46*0.1818</f>
        <v/>
      </c>
      <c r="E46" s="90">
        <f>SUM(C46:D46)</f>
        <v/>
      </c>
      <c r="F46" s="90">
        <f>E46*0.1111</f>
        <v/>
      </c>
      <c r="G46" s="90">
        <f>E46*0.083</f>
        <v/>
      </c>
      <c r="H46" s="90">
        <f>SUM(E46:G46)*0.08</f>
        <v/>
      </c>
      <c r="I46" s="88">
        <f>AA18</f>
        <v/>
      </c>
      <c r="J46" s="88">
        <f>IF(I18=0,0,VLOOKUP(B46,$B$6:$I$25,8,0))</f>
        <v/>
      </c>
      <c r="K46" s="89">
        <f>IF(E46+I46&lt;=$K$59,(E46+I46)*J82-J46,IF(E46+I46&lt;=$K$60,(E46+I46)*J83-J46,IF(E46+I46&lt;=$K$61,(E46+I46)*L84-J46,513.0125)))</f>
        <v/>
      </c>
      <c r="L46" s="9" t="n"/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132.25</v>
      </c>
      <c r="X46" s="17" t="n">
        <v>123.07</v>
      </c>
      <c r="Y46" s="17" t="n">
        <v>155.2</v>
      </c>
      <c r="Z46" s="17" t="n">
        <v>133.91</v>
      </c>
      <c r="AA46" s="49">
        <f>SUM(M46:Z46)</f>
        <v/>
      </c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</row>
    <row r="47" ht="21" customFormat="1" customHeight="1" s="98">
      <c r="A47" s="46" t="inlineStr">
        <is>
          <t>FRANCA</t>
        </is>
      </c>
      <c r="B47" s="15" t="n"/>
      <c r="C47" s="90">
        <f>AA47</f>
        <v/>
      </c>
      <c r="D47" s="90">
        <f>C47*0.1818</f>
        <v/>
      </c>
      <c r="E47" s="90">
        <f>SUM(C47:D47)</f>
        <v/>
      </c>
      <c r="F47" s="90">
        <f>E47*0.1111</f>
        <v/>
      </c>
      <c r="G47" s="90">
        <f>E47*0.083</f>
        <v/>
      </c>
      <c r="H47" s="90">
        <f>SUM(E47:G47)*0.08</f>
        <v/>
      </c>
      <c r="I47" s="88">
        <f>AA19</f>
        <v/>
      </c>
      <c r="J47" s="88">
        <f>IF(I19=0,0,VLOOKUP(B47,$B$6:$I$25,8,0))</f>
        <v/>
      </c>
      <c r="K47" s="89">
        <f>IF(E47+I47&lt;=$K$59,(E47+I47)*J83-J47,IF(E47+I47&lt;=$K$60,(E47+I47)*J84-J47,IF(E47+I47&lt;=$K$61,(E47+I47)*L85-J47,513.0125)))</f>
        <v/>
      </c>
      <c r="L47" s="9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51" t="n"/>
      <c r="AA47" s="49">
        <f>SUM(M47:Z47)</f>
        <v/>
      </c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</row>
    <row r="48" ht="21" customFormat="1" customHeight="1" s="98">
      <c r="A48" s="46" t="inlineStr">
        <is>
          <t>FRANCA</t>
        </is>
      </c>
      <c r="B48" s="22" t="n"/>
      <c r="C48" s="90">
        <f>AA48</f>
        <v/>
      </c>
      <c r="D48" s="90">
        <f>C48*0.1818</f>
        <v/>
      </c>
      <c r="E48" s="90">
        <f>SUM(C48:D48)</f>
        <v/>
      </c>
      <c r="F48" s="90">
        <f>E48*0.1111</f>
        <v/>
      </c>
      <c r="G48" s="90">
        <f>E48*0.083</f>
        <v/>
      </c>
      <c r="H48" s="90">
        <f>SUM(E48:G48)*0.08</f>
        <v/>
      </c>
      <c r="I48" s="88">
        <f>AA20</f>
        <v/>
      </c>
      <c r="J48" s="88">
        <f>IF(I20=0,0,VLOOKUP(B48,$B$6:$I$25,8,0))</f>
        <v/>
      </c>
      <c r="K48" s="89">
        <f>IF(E48+I48&lt;=$K$59,(E48+I48)*J84-J48,IF(E48+I48&lt;=$K$60,(E48+I48)*J85-J48,IF(E48+I48&lt;=$K$61,(E48+I48)*L86-J48,513.0125)))</f>
        <v/>
      </c>
      <c r="L48" s="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51" t="n"/>
      <c r="AA48" s="49">
        <f>SUM(M48:Z48)</f>
        <v/>
      </c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</row>
    <row r="49" ht="21" customFormat="1" customHeight="1" s="98">
      <c r="A49" s="46" t="inlineStr">
        <is>
          <t>FRANCA</t>
        </is>
      </c>
      <c r="B49" s="15" t="n"/>
      <c r="C49" s="90">
        <f>AA49</f>
        <v/>
      </c>
      <c r="D49" s="90">
        <f>C49*0.1818</f>
        <v/>
      </c>
      <c r="E49" s="90">
        <f>SUM(C49:D49)</f>
        <v/>
      </c>
      <c r="F49" s="90">
        <f>E49*0.1111</f>
        <v/>
      </c>
      <c r="G49" s="90">
        <f>E49*0.083</f>
        <v/>
      </c>
      <c r="H49" s="90">
        <f>SUM(E49:G49)*0.08</f>
        <v/>
      </c>
      <c r="I49" s="88">
        <f>AA21</f>
        <v/>
      </c>
      <c r="J49" s="88">
        <f>IF(I21=0,0,VLOOKUP(B49,$B$6:$I$25,8,0))</f>
        <v/>
      </c>
      <c r="K49" s="89">
        <f>IF(E49+I49&lt;=$K$59,(E49+I49)*J85-J49,IF(E49+I49&lt;=$K$60,(E49+I49)*J86-J49,IF(E49+I49&lt;=$K$61,(E49+I49)*L87-J49,513.0125)))</f>
        <v/>
      </c>
      <c r="L49" s="9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51" t="n"/>
      <c r="AA49" s="49">
        <f>SUM(M49:Z49)</f>
        <v/>
      </c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</row>
    <row r="50" ht="21" customFormat="1" customHeight="1" s="98">
      <c r="A50" s="46" t="inlineStr">
        <is>
          <t>FRANCA</t>
        </is>
      </c>
      <c r="B50" s="91" t="n"/>
      <c r="C50" s="90">
        <f>AA50</f>
        <v/>
      </c>
      <c r="D50" s="90">
        <f>C50*0.1818</f>
        <v/>
      </c>
      <c r="E50" s="90">
        <f>SUM(C50:D50)</f>
        <v/>
      </c>
      <c r="F50" s="90">
        <f>E50*0.1111</f>
        <v/>
      </c>
      <c r="G50" s="90">
        <f>E50*0.083</f>
        <v/>
      </c>
      <c r="H50" s="90">
        <f>SUM(E50:G50)*0.08</f>
        <v/>
      </c>
      <c r="I50" s="88">
        <f>AA22</f>
        <v/>
      </c>
      <c r="J50" s="88">
        <f>IF(I22=0,0,VLOOKUP(B50,$B$6:$I$25,8,0))</f>
        <v/>
      </c>
      <c r="K50" s="89">
        <f>IF(E50+I50&lt;=$K$59,(E50+I50)*J86-J50,IF(E50+I50&lt;=$K$60,(E50+I50)*J87-J50,IF(E50+I50&lt;=$K$61,(E50+I50)*L88-J50,513.0125)))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51" t="n"/>
      <c r="Z50" s="51" t="n"/>
      <c r="AA50" s="49">
        <f>SUM(M50:Z50)</f>
        <v/>
      </c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</row>
    <row r="51" ht="21" customFormat="1" customHeight="1" s="98">
      <c r="A51" s="46" t="inlineStr">
        <is>
          <t>FRANCA</t>
        </is>
      </c>
      <c r="B51" s="15" t="n"/>
      <c r="C51" s="90">
        <f>AA51</f>
        <v/>
      </c>
      <c r="D51" s="90">
        <f>C51*0.1818</f>
        <v/>
      </c>
      <c r="E51" s="90">
        <f>SUM(C51:D51)</f>
        <v/>
      </c>
      <c r="F51" s="90">
        <f>E51*0.1111</f>
        <v/>
      </c>
      <c r="G51" s="90">
        <f>E51*0.083</f>
        <v/>
      </c>
      <c r="H51" s="90">
        <f>SUM(E51:G51)*0.08</f>
        <v/>
      </c>
      <c r="I51" s="88">
        <f>AA23</f>
        <v/>
      </c>
      <c r="J51" s="88">
        <f>IF(I23=0,0,VLOOKUP(B51,$B$6:$I$25,8,0))</f>
        <v/>
      </c>
      <c r="K51" s="89">
        <f>IF(E51+I51&lt;=$K$59,(E51+I51)*J87-J51,IF(E51+I51&lt;=$K$60,(E51+I51)*J88-J51,IF(E51+I51&lt;=$K$61,(E51+I51)*L89-J51,513.0125)))</f>
        <v/>
      </c>
      <c r="L51" s="9" t="n"/>
      <c r="M51" s="17" t="n"/>
      <c r="N51" s="52" t="n"/>
      <c r="O51" s="52" t="n"/>
      <c r="P51" s="17" t="n"/>
      <c r="Q51" s="52" t="n"/>
      <c r="R51" s="17" t="n"/>
      <c r="S51" s="52" t="n"/>
      <c r="T51" s="17" t="n"/>
      <c r="U51" s="17" t="n"/>
      <c r="V51" s="52" t="n"/>
      <c r="W51" s="51" t="n"/>
      <c r="X51" s="51" t="n"/>
      <c r="Y51" s="51" t="n"/>
      <c r="Z51" s="51" t="n"/>
      <c r="AA51" s="49">
        <f>SUM(M51:Z51)</f>
        <v/>
      </c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</row>
    <row r="52" ht="21" customFormat="1" customHeight="1" s="98">
      <c r="A52" s="46" t="inlineStr">
        <is>
          <t>FRANCA</t>
        </is>
      </c>
      <c r="B52" s="15" t="n"/>
      <c r="C52" s="90">
        <f>AA52</f>
        <v/>
      </c>
      <c r="D52" s="90">
        <f>C52*0.1818</f>
        <v/>
      </c>
      <c r="E52" s="90">
        <f>SUM(C52:D52)</f>
        <v/>
      </c>
      <c r="F52" s="90">
        <f>E52*0.1111</f>
        <v/>
      </c>
      <c r="G52" s="90">
        <f>E52*0.083</f>
        <v/>
      </c>
      <c r="H52" s="90">
        <f>SUM(E52:G52)*0.08</f>
        <v/>
      </c>
      <c r="I52" s="88">
        <f>AA24</f>
        <v/>
      </c>
      <c r="J52" s="88">
        <f>IF(I24=0,0,VLOOKUP(B52,$B$6:$I$25,8,0))</f>
        <v/>
      </c>
      <c r="K52" s="89">
        <f>IF(E52+I52&lt;=$K$59,(E52+I52)*J88-J52,IF(E52+I52&lt;=$K$60,(E52+I52)*J89-J52,IF(E52+I52&lt;=$K$61,(E52+I52)*L90-J52,513.0125)))</f>
        <v/>
      </c>
      <c r="L52" s="9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1" t="n"/>
      <c r="X52" s="51" t="n"/>
      <c r="Y52" s="51" t="n"/>
      <c r="Z52" s="51" t="n"/>
      <c r="AA52" s="49">
        <f>SUM(M52:Z52)</f>
        <v/>
      </c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</row>
    <row r="53" ht="21.6" customFormat="1" customHeight="1" s="98" thickBot="1">
      <c r="A53" s="46" t="inlineStr">
        <is>
          <t>FRANCA</t>
        </is>
      </c>
      <c r="B53" s="53" t="n"/>
      <c r="C53" s="92">
        <f>AA53</f>
        <v/>
      </c>
      <c r="D53" s="92">
        <f>C53*0.1818</f>
        <v/>
      </c>
      <c r="E53" s="92">
        <f>SUM(C53:D53)</f>
        <v/>
      </c>
      <c r="F53" s="92">
        <f>E53*0.1111</f>
        <v/>
      </c>
      <c r="G53" s="92">
        <f>E53*0.083</f>
        <v/>
      </c>
      <c r="H53" s="92">
        <f>SUM(E53:G53)*0.08</f>
        <v/>
      </c>
      <c r="I53" s="93">
        <f>AA25</f>
        <v/>
      </c>
      <c r="J53" s="93">
        <f>IF(I25=0,0,VLOOKUP(B53,$B$6:$I$25,8,0))</f>
        <v/>
      </c>
      <c r="K53" s="94">
        <f>IF(E53+I53&lt;=$K$59,(E53+I53)*J89-J53,IF(E53+I53&lt;=$K$60,(E53+I53)*J90-J53,IF(E53+I53&lt;=$K$61,(E53+I53)*L91-J53,513.0125)))</f>
        <v/>
      </c>
      <c r="L53" s="9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49">
        <f>SUM(M53:Z53)</f>
        <v/>
      </c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</row>
    <row r="54" ht="21" customFormat="1" customHeight="1" s="98" thickBo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28" t="n"/>
      <c r="N54" s="28">
        <f>COUNT(#REF!)</f>
        <v/>
      </c>
      <c r="O54" s="28">
        <f>COUNT(#REF!)</f>
        <v/>
      </c>
      <c r="P54" s="28" t="n">
        <v>29</v>
      </c>
      <c r="Q54" s="28">
        <f>COUNT(#REF!)</f>
        <v/>
      </c>
      <c r="R54" s="28">
        <f>COUNT(#REF!)</f>
        <v/>
      </c>
      <c r="S54" s="28">
        <f>COUNT(#REF!)</f>
        <v/>
      </c>
      <c r="T54" s="28" t="n"/>
      <c r="U54" s="28">
        <f>COUNT(#REF!)</f>
        <v/>
      </c>
      <c r="V54" s="28">
        <f>COUNT(#REF!)</f>
        <v/>
      </c>
      <c r="W54" s="28" t="n"/>
      <c r="X54" s="28" t="n"/>
      <c r="Y54" s="28" t="n"/>
      <c r="Z54" s="28" t="n"/>
      <c r="AA54" s="28" t="n"/>
      <c r="AB54" s="10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</row>
    <row r="55" ht="21.6" customFormat="1" customHeight="1" s="98" thickBot="1">
      <c r="L55" s="10" t="n"/>
      <c r="M55" s="29" t="inlineStr">
        <is>
          <t>TOTAL GERAL / BOLETIM ENSACADORES:</t>
        </is>
      </c>
      <c r="N55" s="30" t="n"/>
      <c r="O55" s="30" t="n"/>
      <c r="P55" s="30" t="n"/>
      <c r="Q55" s="30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2" t="inlineStr">
        <is>
          <t>TOTAL:</t>
        </is>
      </c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</row>
    <row r="56" ht="21.6" customFormat="1" customHeight="1" s="98" thickBot="1">
      <c r="A56" s="64" t="inlineStr">
        <is>
          <t>MÉDIA DIARIA CHAPAS</t>
        </is>
      </c>
      <c r="B56" s="108" t="n"/>
      <c r="C56" s="37" t="n">
        <v>11</v>
      </c>
      <c r="L56" s="10" t="n"/>
      <c r="M56" s="33">
        <f>SUM(M35:M53)</f>
        <v/>
      </c>
      <c r="N56" s="33">
        <f>SUM(N35:N53)</f>
        <v/>
      </c>
      <c r="O56" s="33">
        <f>SUM(O35:O44)</f>
        <v/>
      </c>
      <c r="P56" s="33">
        <f>SUM(P35:P53)</f>
        <v/>
      </c>
      <c r="Q56" s="33">
        <f>SUM(Q35:Q52)</f>
        <v/>
      </c>
      <c r="R56" s="33">
        <f>SUM(R35:R53)</f>
        <v/>
      </c>
      <c r="S56" s="33">
        <f>SUM(S35:S53)</f>
        <v/>
      </c>
      <c r="T56" s="33">
        <f>SUM(T35:T53)</f>
        <v/>
      </c>
      <c r="U56" s="33">
        <f>SUM(U35:U53)</f>
        <v/>
      </c>
      <c r="V56" s="33">
        <f>SUM(V35:V53)</f>
        <v/>
      </c>
      <c r="W56" s="33">
        <f>SUM(W35:W53)</f>
        <v/>
      </c>
      <c r="X56" s="33">
        <f>SUM(X35:X53)</f>
        <v/>
      </c>
      <c r="Y56" s="33">
        <f>SUM(Y35:Y53)</f>
        <v/>
      </c>
      <c r="Z56" s="33">
        <f>SUM(Z35:Z53)</f>
        <v/>
      </c>
      <c r="AA56" s="34" t="n"/>
      <c r="AB56" s="35">
        <f>SUM(M56:Z56)</f>
        <v/>
      </c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</row>
    <row r="57" ht="21.6" customFormat="1" customHeight="1" s="98" thickBot="1">
      <c r="A57" s="113" t="inlineStr">
        <is>
          <t>TOTAL DE CHAPAS NO MÊS</t>
        </is>
      </c>
      <c r="B57" s="108" t="n"/>
      <c r="C57" s="58" t="n">
        <v>11</v>
      </c>
      <c r="L57" s="10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</row>
    <row r="58" ht="20.4" customFormat="1" customHeight="1" s="98">
      <c r="L58" s="10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</row>
    <row r="59" ht="20.4" customFormat="1" customHeight="1" s="98"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</row>
    <row r="60" ht="20.4" customFormat="1" customHeight="1" s="98"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</row>
    <row r="61" ht="21" customFormat="1" customHeight="1" s="98">
      <c r="A61" s="95" t="n"/>
      <c r="B61" s="10" t="n"/>
      <c r="C61" s="5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</row>
    <row r="62" ht="25.8" customFormat="1" customHeight="1" s="98">
      <c r="A62" s="96" t="n"/>
      <c r="B62" s="97" t="n"/>
      <c r="C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</row>
    <row r="63" ht="21" customFormat="1" customHeight="1" s="98">
      <c r="A63" s="20" t="n"/>
      <c r="B63" s="20" t="n"/>
      <c r="C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</row>
    <row r="64" ht="21" customFormat="1" customHeight="1" s="98">
      <c r="A64" s="20" t="n"/>
      <c r="B64" s="20" t="n"/>
      <c r="C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</row>
    <row r="65" ht="21" customFormat="1" customHeight="1" s="98">
      <c r="A65" s="20" t="n"/>
      <c r="B65" s="20" t="n"/>
      <c r="C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</row>
    <row r="66" ht="21" customFormat="1" customHeight="1" s="98">
      <c r="A66" s="20" t="n"/>
      <c r="B66" s="20" t="n"/>
      <c r="C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</row>
    <row r="67" ht="21" customFormat="1" customHeight="1" s="98">
      <c r="A67" s="20" t="n"/>
      <c r="B67" s="20" t="n"/>
      <c r="C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</row>
    <row r="68" ht="21" customFormat="1" customHeight="1" s="98">
      <c r="A68" s="20" t="n"/>
      <c r="B68" s="20" t="n"/>
      <c r="C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</row>
    <row r="69" ht="21" customFormat="1" customHeight="1" s="98">
      <c r="A69" s="20" t="n"/>
      <c r="B69" s="20" t="n"/>
      <c r="C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</row>
    <row r="70" ht="21" customFormat="1" customHeight="1" s="98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</row>
    <row r="71" customFormat="1" s="98"/>
    <row r="72" customFormat="1" s="98"/>
    <row r="73" customFormat="1" s="98"/>
    <row r="74" customFormat="1" s="98"/>
    <row r="75" customFormat="1" s="98"/>
    <row r="76" customFormat="1" s="98"/>
    <row r="77" customFormat="1" s="98"/>
    <row r="78" customFormat="1" s="98"/>
    <row r="79" customFormat="1" s="98"/>
    <row r="80" customFormat="1" s="98"/>
    <row r="81" customFormat="1" s="98"/>
    <row r="82" customFormat="1" s="98"/>
    <row r="83" customFormat="1" s="98"/>
    <row r="84" customFormat="1" s="98"/>
    <row r="85" customFormat="1" s="98"/>
    <row r="86" customFormat="1" s="98"/>
    <row r="87" customFormat="1" s="98"/>
    <row r="88" customFormat="1" s="98"/>
    <row r="89" customFormat="1" s="98"/>
    <row r="90" customFormat="1" s="98"/>
    <row r="91" customFormat="1" s="98"/>
    <row r="92" customFormat="1" s="98"/>
    <row r="93" customFormat="1" s="98"/>
    <row r="94" customFormat="1" s="98"/>
    <row r="95" customFormat="1" s="98"/>
    <row r="96" customFormat="1" s="98"/>
    <row r="97" customFormat="1" s="98"/>
    <row r="98" customFormat="1" s="98"/>
    <row r="99" customFormat="1" s="98"/>
    <row r="100" customFormat="1" s="98"/>
    <row r="101" customFormat="1" s="98"/>
    <row r="102" customFormat="1" s="98"/>
    <row r="103" customFormat="1" s="98"/>
    <row r="104" customFormat="1" s="98"/>
    <row r="105" customFormat="1" s="98"/>
    <row r="106" customFormat="1" s="98"/>
    <row r="107" customFormat="1" s="98"/>
    <row r="108" customFormat="1" s="98"/>
    <row r="109" customFormat="1" s="98"/>
    <row r="110" customFormat="1" s="98"/>
    <row r="111" customFormat="1" s="98"/>
    <row r="112" customFormat="1" s="98"/>
    <row r="113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  <c r="J113" s="98" t="n"/>
      <c r="K113" s="98" t="n"/>
      <c r="L113" s="98" t="n"/>
      <c r="AB113" s="98" t="n"/>
      <c r="AC113" s="98" t="n"/>
      <c r="AD113" s="98" t="n"/>
      <c r="AE113" s="98" t="n"/>
      <c r="AF113" s="98" t="n"/>
    </row>
  </sheetData>
  <mergeCells count="9">
    <mergeCell ref="M33:AB33"/>
    <mergeCell ref="A57:B57"/>
    <mergeCell ref="A2:H2"/>
    <mergeCell ref="A33:K33"/>
    <mergeCell ref="A3:I3"/>
    <mergeCell ref="M4:AA4"/>
    <mergeCell ref="A1:H1"/>
    <mergeCell ref="A56:B56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14"/>
  <sheetViews>
    <sheetView zoomScale="40" zoomScaleNormal="40" workbookViewId="0">
      <selection activeCell="AE62" sqref="A1:AE62"/>
    </sheetView>
  </sheetViews>
  <sheetFormatPr baseColWidth="8" defaultColWidth="14.33203125" defaultRowHeight="14.4"/>
  <cols>
    <col width="17.109375" bestFit="1" customWidth="1" min="16" max="16"/>
    <col width="18.44140625" bestFit="1" customWidth="1" min="29" max="29"/>
  </cols>
  <sheetData>
    <row r="1" ht="30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30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 ht="21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8" t="n"/>
      <c r="AC4" s="5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 ht="21" customFormat="1" customHeight="1" s="98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45962</v>
      </c>
      <c r="N5" s="11" t="n">
        <v>45964</v>
      </c>
      <c r="O5" s="11" t="n">
        <v>45965</v>
      </c>
      <c r="P5" s="11" t="n">
        <v>45966</v>
      </c>
      <c r="Q5" s="11" t="n">
        <v>45967</v>
      </c>
      <c r="R5" s="11" t="n">
        <v>45968</v>
      </c>
      <c r="S5" s="11" t="n">
        <v>45969</v>
      </c>
      <c r="T5" s="11" t="inlineStr">
        <is>
          <t>DOM</t>
        </is>
      </c>
      <c r="U5" s="11" t="n">
        <v>45971</v>
      </c>
      <c r="V5" s="11" t="n">
        <v>45972</v>
      </c>
      <c r="W5" s="11" t="n">
        <v>45973</v>
      </c>
      <c r="X5" s="11" t="n">
        <v>45974</v>
      </c>
      <c r="Y5" s="11" t="n">
        <v>45975</v>
      </c>
      <c r="Z5" s="11" t="n">
        <v>45976</v>
      </c>
      <c r="AA5" s="11" t="n"/>
      <c r="AB5" s="12" t="inlineStr">
        <is>
          <t>TOTAL</t>
        </is>
      </c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</row>
    <row r="6" ht="21" customFormat="1" customHeight="1" s="98">
      <c r="A6" s="14" t="inlineStr">
        <is>
          <t>FRANCA</t>
        </is>
      </c>
      <c r="B6" s="22" t="inlineStr">
        <is>
          <t>CHAPA_08</t>
        </is>
      </c>
      <c r="C6" s="10">
        <f>AB6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IF(E6&lt;=$F$67,E6*$G$67,IF(E6&lt;=$F$68,E6*$G$68,IF(E6&lt;=$F$69,E6*$G$69,513.0125)))</f>
        <v/>
      </c>
      <c r="J6" s="9" t="n"/>
      <c r="K6" s="10" t="n"/>
      <c r="L6" s="10" t="n"/>
      <c r="M6" s="17" t="n">
        <v>45.08</v>
      </c>
      <c r="N6" s="17" t="n">
        <v>99.2</v>
      </c>
      <c r="O6" s="17" t="n">
        <v>132.55</v>
      </c>
      <c r="P6" s="17" t="n">
        <v>99.19</v>
      </c>
      <c r="Q6" s="17" t="n">
        <v>99.19</v>
      </c>
      <c r="R6" s="17" t="n">
        <v>187.66</v>
      </c>
      <c r="S6" s="17" t="n">
        <v>0</v>
      </c>
      <c r="T6" s="17" t="n">
        <v>0</v>
      </c>
      <c r="U6" s="17" t="n">
        <v>0</v>
      </c>
      <c r="V6" s="17" t="n">
        <v>168.88</v>
      </c>
      <c r="W6" s="17" t="n">
        <v>149.76</v>
      </c>
      <c r="X6" s="17" t="n">
        <v>108.06</v>
      </c>
      <c r="Y6" s="17" t="n">
        <v>0</v>
      </c>
      <c r="Z6" s="17" t="n">
        <v>0</v>
      </c>
      <c r="AA6" s="17" t="n"/>
      <c r="AB6" s="18">
        <f>SUM(M6:AA6)</f>
        <v/>
      </c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</row>
    <row r="7" ht="21" customFormat="1" customHeight="1" s="98">
      <c r="A7" s="14" t="inlineStr">
        <is>
          <t>FRANCA</t>
        </is>
      </c>
      <c r="B7" s="22" t="inlineStr">
        <is>
          <t>CHAPA_09</t>
        </is>
      </c>
      <c r="C7" s="10">
        <f>AB7</f>
        <v/>
      </c>
      <c r="D7" s="10">
        <f>C7*0.1818</f>
        <v/>
      </c>
      <c r="E7" s="10">
        <f>SUM(C7:D7)</f>
        <v/>
      </c>
      <c r="F7" s="10">
        <f>E7*0.1111</f>
        <v/>
      </c>
      <c r="G7" s="10">
        <f>E7*0.083</f>
        <v/>
      </c>
      <c r="H7" s="10">
        <f>SUM(E7:G7)*0.08</f>
        <v/>
      </c>
      <c r="I7" s="10">
        <f>IF(E7&lt;=$F$67,E7*$G$67,IF(E7&lt;=$F$68,E7*$G$68,IF(E7&lt;=$F$69,E7*$G$69,513.0125)))</f>
        <v/>
      </c>
      <c r="J7" s="9" t="n"/>
      <c r="K7" s="20" t="n"/>
      <c r="L7" s="10" t="n"/>
      <c r="M7" s="17" t="n">
        <v>45.09</v>
      </c>
      <c r="N7" s="17" t="n">
        <v>99.2</v>
      </c>
      <c r="O7" s="17" t="n">
        <v>132.55</v>
      </c>
      <c r="P7" s="17" t="n">
        <v>99.19</v>
      </c>
      <c r="Q7" s="17" t="n">
        <v>99.19</v>
      </c>
      <c r="R7" s="17" t="n">
        <v>187.66</v>
      </c>
      <c r="S7" s="17" t="n">
        <v>45.09</v>
      </c>
      <c r="T7" s="17" t="n">
        <v>0</v>
      </c>
      <c r="U7" s="17" t="n">
        <v>171.79</v>
      </c>
      <c r="V7" s="17" t="n">
        <v>71.65000000000001</v>
      </c>
      <c r="W7" s="17" t="n">
        <v>149.76</v>
      </c>
      <c r="X7" s="17" t="n">
        <v>124.96</v>
      </c>
      <c r="Y7" s="17" t="n">
        <v>99.19</v>
      </c>
      <c r="Z7" s="17" t="n">
        <v>0</v>
      </c>
      <c r="AA7" s="17" t="n"/>
      <c r="AB7" s="18">
        <f>SUM(M7:AA7)</f>
        <v/>
      </c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</row>
    <row r="8" ht="21" customFormat="1" customHeight="1" s="98">
      <c r="A8" s="14" t="inlineStr">
        <is>
          <t>FRANCA</t>
        </is>
      </c>
      <c r="B8" s="22" t="inlineStr">
        <is>
          <t>CHAPA_15</t>
        </is>
      </c>
      <c r="C8" s="10">
        <f>AB8</f>
        <v/>
      </c>
      <c r="D8" s="10">
        <f>C8*0.1818</f>
        <v/>
      </c>
      <c r="E8" s="10">
        <f>SUM(C8:D8)</f>
        <v/>
      </c>
      <c r="F8" s="10">
        <f>E8*0.1111</f>
        <v/>
      </c>
      <c r="G8" s="10">
        <f>E8*0.083</f>
        <v/>
      </c>
      <c r="H8" s="10">
        <f>SUM(E8:G8)*0.08</f>
        <v/>
      </c>
      <c r="I8" s="10">
        <f>IF(E8&lt;=$F$67,E8*$G$67,IF(E8&lt;=$F$68,E8*$G$68,IF(E8&lt;=$F$69,E8*$G$69,513.0125)))</f>
        <v/>
      </c>
      <c r="J8" s="9" t="n"/>
      <c r="K8" s="10" t="n"/>
      <c r="L8" s="10" t="n"/>
      <c r="M8" s="17" t="n">
        <v>0</v>
      </c>
      <c r="N8" s="17" t="n">
        <v>99.2</v>
      </c>
      <c r="O8" s="17" t="n">
        <v>132.55</v>
      </c>
      <c r="P8" s="17" t="n">
        <v>99.19</v>
      </c>
      <c r="Q8" s="17" t="n">
        <v>67.63</v>
      </c>
      <c r="R8" s="17" t="n">
        <v>45.08</v>
      </c>
      <c r="S8" s="17" t="n">
        <v>45.09</v>
      </c>
      <c r="T8" s="17" t="n">
        <v>0</v>
      </c>
      <c r="U8" s="17" t="n">
        <v>154.88</v>
      </c>
      <c r="V8" s="17" t="n">
        <v>168.88</v>
      </c>
      <c r="W8" s="17" t="n">
        <v>149.76</v>
      </c>
      <c r="X8" s="17" t="n">
        <v>108.06</v>
      </c>
      <c r="Y8" s="17" t="n">
        <v>107.65</v>
      </c>
      <c r="Z8" s="17" t="n">
        <v>0</v>
      </c>
      <c r="AA8" s="17" t="n"/>
      <c r="AB8" s="18">
        <f>SUM(M8:AA8)</f>
        <v/>
      </c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</row>
    <row r="9" ht="21" customFormat="1" customHeight="1" s="98">
      <c r="A9" s="14" t="inlineStr">
        <is>
          <t>FRANCA</t>
        </is>
      </c>
      <c r="B9" s="22" t="inlineStr">
        <is>
          <t>CHAPA_17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9" t="n"/>
      <c r="K9" s="10" t="n"/>
      <c r="L9" s="10" t="n"/>
      <c r="M9" s="17" t="n">
        <v>45.09</v>
      </c>
      <c r="N9" s="17" t="n">
        <v>99.19</v>
      </c>
      <c r="O9" s="17" t="n">
        <v>45.08</v>
      </c>
      <c r="P9" s="17" t="n">
        <v>99.19</v>
      </c>
      <c r="Q9" s="17" t="n">
        <v>99.19</v>
      </c>
      <c r="R9" s="17" t="n">
        <v>187.66</v>
      </c>
      <c r="S9" s="17" t="n">
        <v>45.09</v>
      </c>
      <c r="T9" s="17" t="n">
        <v>0</v>
      </c>
      <c r="U9" s="17" t="n">
        <v>171.79</v>
      </c>
      <c r="V9" s="17" t="n">
        <v>168.88</v>
      </c>
      <c r="W9" s="17" t="n">
        <v>149.75</v>
      </c>
      <c r="X9" s="17" t="n">
        <v>124.96</v>
      </c>
      <c r="Y9" s="17" t="n">
        <v>107.65</v>
      </c>
      <c r="Z9" s="17" t="n">
        <v>0</v>
      </c>
      <c r="AA9" s="17" t="n"/>
      <c r="AB9" s="18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</row>
    <row r="10" ht="21" customFormat="1" customHeight="1" s="98">
      <c r="A10" s="14" t="inlineStr">
        <is>
          <t>FRANCA</t>
        </is>
      </c>
      <c r="B10" s="15" t="inlineStr">
        <is>
          <t>CHAPA_31</t>
        </is>
      </c>
      <c r="C10" s="10">
        <f>AB10</f>
        <v/>
      </c>
      <c r="D10" s="10">
        <f>C10*0.1818</f>
        <v/>
      </c>
      <c r="E10" s="10">
        <f>SUM(C10:D10)</f>
        <v/>
      </c>
      <c r="F10" s="10">
        <f>E10*0.1111</f>
        <v/>
      </c>
      <c r="G10" s="10">
        <f>E10*0.083</f>
        <v/>
      </c>
      <c r="H10" s="10">
        <f>SUM(E10:G10)*0.08</f>
        <v/>
      </c>
      <c r="I10" s="10">
        <f>IF(E10&lt;=$F$67,E10*$G$67,IF(E10&lt;=$F$68,E10*$G$68,IF(E10&lt;=$F$69,E10*$G$69,513.0125)))</f>
        <v/>
      </c>
      <c r="J10" s="9" t="n"/>
      <c r="K10" s="10" t="n"/>
      <c r="L10" s="10" t="n"/>
      <c r="M10" s="17" t="n">
        <v>45.09</v>
      </c>
      <c r="N10" s="17" t="n">
        <v>99.19</v>
      </c>
      <c r="O10" s="17" t="n">
        <v>0</v>
      </c>
      <c r="P10" s="17" t="n">
        <v>99.19</v>
      </c>
      <c r="Q10" s="17" t="n">
        <v>45.08</v>
      </c>
      <c r="R10" s="17" t="n">
        <v>166.93</v>
      </c>
      <c r="S10" s="17" t="n">
        <v>0</v>
      </c>
      <c r="T10" s="17" t="n">
        <v>0</v>
      </c>
      <c r="U10" s="17" t="n">
        <v>154.88</v>
      </c>
      <c r="V10" s="17" t="n">
        <v>168.88</v>
      </c>
      <c r="W10" s="17" t="n">
        <v>141.3</v>
      </c>
      <c r="X10" s="17" t="n">
        <v>108.06</v>
      </c>
      <c r="Y10" s="17" t="n">
        <v>99.18000000000001</v>
      </c>
      <c r="Z10" s="17" t="n">
        <v>0</v>
      </c>
      <c r="AA10" s="17" t="n"/>
      <c r="AB10" s="18">
        <f>SUM(M10:AA10)</f>
        <v/>
      </c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</row>
    <row r="11" ht="21" customFormat="1" customHeight="1" s="98">
      <c r="A11" s="14" t="inlineStr">
        <is>
          <t>FRANCA</t>
        </is>
      </c>
      <c r="B11" s="22" t="inlineStr">
        <is>
          <t>CHAPA_38</t>
        </is>
      </c>
      <c r="C11" s="10">
        <f>AB11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0">
        <f>IF(E11&lt;=$F$67,E11*$G$67,IF(E11&lt;=$F$68,E11*$G$68,IF(E11&lt;=$F$69,E11*$G$69,513.0125)))</f>
        <v/>
      </c>
      <c r="J11" s="9" t="n"/>
      <c r="K11" s="10" t="n"/>
      <c r="L11" s="10" t="n"/>
      <c r="M11" s="17" t="n">
        <v>45.09</v>
      </c>
      <c r="N11" s="17" t="n">
        <v>99.19</v>
      </c>
      <c r="O11" s="17" t="n">
        <v>132.56</v>
      </c>
      <c r="P11" s="17" t="n">
        <v>116.09</v>
      </c>
      <c r="Q11" s="17" t="n">
        <v>99.2</v>
      </c>
      <c r="R11" s="17" t="n">
        <v>204.56</v>
      </c>
      <c r="S11" s="17" t="n">
        <v>45.09</v>
      </c>
      <c r="T11" s="17" t="n">
        <v>0</v>
      </c>
      <c r="U11" s="17" t="n">
        <v>171.79</v>
      </c>
      <c r="V11" s="17" t="n">
        <v>168.88</v>
      </c>
      <c r="W11" s="17" t="n">
        <v>149.75</v>
      </c>
      <c r="X11" s="17" t="n">
        <v>108.06</v>
      </c>
      <c r="Y11" s="17" t="n">
        <v>107.65</v>
      </c>
      <c r="Z11" s="17" t="n">
        <v>0</v>
      </c>
      <c r="AA11" s="17" t="n"/>
      <c r="AB11" s="18">
        <f>SUM(M11:AA11)</f>
        <v/>
      </c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</row>
    <row r="12" ht="21" customFormat="1" customHeight="1" s="98">
      <c r="A12" s="14" t="inlineStr">
        <is>
          <t>FRANCA</t>
        </is>
      </c>
      <c r="B12" s="22" t="inlineStr">
        <is>
          <t>CHAPA_41</t>
        </is>
      </c>
      <c r="C12" s="10">
        <f>AB12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IF(E12&lt;=$F$67,E12*$G$67,IF(E12&lt;=$F$68,E12*$G$68,IF(E12&lt;=$F$69,E12*$G$69,513.0125)))</f>
        <v/>
      </c>
      <c r="J12" s="9" t="n"/>
      <c r="K12" s="10" t="n"/>
      <c r="L12" s="10" t="n"/>
      <c r="M12" s="17" t="n">
        <v>45.09</v>
      </c>
      <c r="N12" s="17" t="n">
        <v>99.19</v>
      </c>
      <c r="O12" s="17" t="n">
        <v>132.56</v>
      </c>
      <c r="P12" s="17" t="n">
        <v>99.2</v>
      </c>
      <c r="Q12" s="17" t="n">
        <v>99.2</v>
      </c>
      <c r="R12" s="17" t="n">
        <v>187.66</v>
      </c>
      <c r="S12" s="17" t="n">
        <v>0</v>
      </c>
      <c r="T12" s="17" t="n">
        <v>0</v>
      </c>
      <c r="U12" s="17" t="n">
        <v>171.79</v>
      </c>
      <c r="V12" s="17" t="n">
        <v>168.88</v>
      </c>
      <c r="W12" s="17" t="n">
        <v>141.3</v>
      </c>
      <c r="X12" s="17" t="n">
        <v>108.06</v>
      </c>
      <c r="Y12" s="17" t="n">
        <v>99.19</v>
      </c>
      <c r="Z12" s="17" t="n">
        <v>0</v>
      </c>
      <c r="AA12" s="17" t="n"/>
      <c r="AB12" s="18">
        <f>SUM(M12:AA12)</f>
        <v/>
      </c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</row>
    <row r="13" ht="21" customFormat="1" customHeight="1" s="98">
      <c r="A13" s="14" t="inlineStr">
        <is>
          <t>FRANCA</t>
        </is>
      </c>
      <c r="B13" s="22" t="inlineStr">
        <is>
          <t>CHAPA_42</t>
        </is>
      </c>
      <c r="C13" s="10">
        <f>AB13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IF(E13&lt;=$F$67,E13*$G$67,IF(E13&lt;=$F$68,E13*$G$68,IF(E13&lt;=$F$69,E13*$G$69,513.0125)))</f>
        <v/>
      </c>
      <c r="J13" s="9" t="n"/>
      <c r="K13" s="10" t="n"/>
      <c r="L13" s="10" t="n"/>
      <c r="M13" s="17" t="n">
        <v>0</v>
      </c>
      <c r="N13" s="17" t="n">
        <v>99.19</v>
      </c>
      <c r="O13" s="17" t="n">
        <v>132.55</v>
      </c>
      <c r="P13" s="17" t="n">
        <v>99.2</v>
      </c>
      <c r="Q13" s="17" t="n">
        <v>99.2</v>
      </c>
      <c r="R13" s="17" t="n">
        <v>166.93</v>
      </c>
      <c r="S13" s="17" t="n">
        <v>0</v>
      </c>
      <c r="T13" s="17" t="n">
        <v>0</v>
      </c>
      <c r="U13" s="17" t="n">
        <v>171.79</v>
      </c>
      <c r="V13" s="17" t="n">
        <v>0</v>
      </c>
      <c r="W13" s="17" t="n">
        <v>149.75</v>
      </c>
      <c r="X13" s="17" t="n">
        <v>108.06</v>
      </c>
      <c r="Y13" s="17" t="n">
        <v>99.19</v>
      </c>
      <c r="Z13" s="17" t="n">
        <v>0</v>
      </c>
      <c r="AA13" s="17" t="n"/>
      <c r="AB13" s="18">
        <f>SUM(M13:AA13)</f>
        <v/>
      </c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</row>
    <row r="14" ht="21" customFormat="1" customHeight="1" s="98">
      <c r="A14" s="14" t="inlineStr">
        <is>
          <t>FRANCA</t>
        </is>
      </c>
      <c r="B14" s="22" t="inlineStr">
        <is>
          <t>CHAPA_43</t>
        </is>
      </c>
      <c r="C14" s="10">
        <f>AB14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IF(E14&lt;=$F$67,E14*$G$67,IF(E14&lt;=$F$68,E14*$G$68,IF(E14&lt;=$F$69,E14*$G$69,513.0125)))</f>
        <v/>
      </c>
      <c r="J14" s="9" t="n"/>
      <c r="K14" s="10" t="n"/>
      <c r="L14" s="10" t="n"/>
      <c r="M14" s="17" t="n">
        <v>45.08</v>
      </c>
      <c r="N14" s="17" t="n">
        <v>99.19</v>
      </c>
      <c r="O14" s="17" t="n">
        <v>132.55</v>
      </c>
      <c r="P14" s="17" t="n">
        <v>99.2</v>
      </c>
      <c r="Q14" s="17" t="n">
        <v>99.19</v>
      </c>
      <c r="R14" s="17" t="n">
        <v>187.65</v>
      </c>
      <c r="S14" s="17" t="n">
        <v>45.08</v>
      </c>
      <c r="T14" s="17" t="n">
        <v>0</v>
      </c>
      <c r="U14" s="17" t="n">
        <v>171.79</v>
      </c>
      <c r="V14" s="17" t="n">
        <v>168.88</v>
      </c>
      <c r="W14" s="17" t="n">
        <v>141.3</v>
      </c>
      <c r="X14" s="17" t="n">
        <v>108.06</v>
      </c>
      <c r="Y14" s="17" t="n">
        <v>0</v>
      </c>
      <c r="Z14" s="17" t="n">
        <v>0</v>
      </c>
      <c r="AA14" s="17" t="n"/>
      <c r="AB14" s="18">
        <f>SUM(M14:AA14)</f>
        <v/>
      </c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</row>
    <row r="15" ht="21" customFormat="1" customHeight="1" s="98">
      <c r="A15" s="14" t="inlineStr">
        <is>
          <t>FRANCA</t>
        </is>
      </c>
      <c r="B15" s="15" t="inlineStr">
        <is>
          <t>CHAPA_30</t>
        </is>
      </c>
      <c r="C15" s="10">
        <f>AB15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IF(E15&lt;=$F$67,E15*$G$67,IF(E15&lt;=$F$68,E15*$G$68,IF(E15&lt;=$F$69,E15*$G$69,513.0125)))</f>
        <v/>
      </c>
      <c r="J15" s="9" t="n"/>
      <c r="K15" s="10" t="n"/>
      <c r="L15" s="10" t="n"/>
      <c r="M15" s="17" t="n">
        <v>0</v>
      </c>
      <c r="N15" s="17" t="n">
        <v>0</v>
      </c>
      <c r="O15" s="17" t="n">
        <v>0</v>
      </c>
      <c r="P15" s="17" t="n">
        <v>99.19</v>
      </c>
      <c r="Q15" s="17" t="n">
        <v>99.19</v>
      </c>
      <c r="R15" s="17" t="n">
        <v>187.65</v>
      </c>
      <c r="S15" s="17" t="n">
        <v>45.08</v>
      </c>
      <c r="T15" s="17" t="n">
        <v>0</v>
      </c>
      <c r="U15" s="17" t="n">
        <v>171.79</v>
      </c>
      <c r="V15" s="17" t="n">
        <v>168.88</v>
      </c>
      <c r="W15" s="17" t="n">
        <v>149.75</v>
      </c>
      <c r="X15" s="17" t="n">
        <v>124.96</v>
      </c>
      <c r="Y15" s="17" t="n">
        <v>45.08</v>
      </c>
      <c r="Z15" s="17" t="n">
        <v>0</v>
      </c>
      <c r="AA15" s="17" t="n"/>
      <c r="AB15" s="18">
        <f>SUM(M15:AA15)</f>
        <v/>
      </c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</row>
    <row r="16" ht="21" customFormat="1" customHeight="1" s="98">
      <c r="A16" s="14" t="inlineStr">
        <is>
          <t>FRANCA</t>
        </is>
      </c>
      <c r="B16" s="101" t="inlineStr">
        <is>
          <t>CHAPA_26</t>
        </is>
      </c>
      <c r="C16" s="10">
        <f>AB16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IF(E16&lt;=$F$67,E16*$G$67,IF(E16&lt;=$F$68,E16*$G$68,IF(E16&lt;=$F$69,E16*$G$69,513.0125)))</f>
        <v/>
      </c>
      <c r="J16" s="9" t="n"/>
      <c r="K16" s="10" t="n"/>
      <c r="L16" s="10" t="n"/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02" t="n">
        <v>99.19</v>
      </c>
      <c r="V16" s="102" t="n">
        <v>99.19</v>
      </c>
      <c r="W16" s="102" t="n">
        <v>99.29000000000001</v>
      </c>
      <c r="X16" s="102" t="n">
        <v>126.71</v>
      </c>
      <c r="Y16" s="102" t="n">
        <v>99.19</v>
      </c>
      <c r="Z16" s="17" t="n">
        <v>0</v>
      </c>
      <c r="AA16" s="17" t="n"/>
      <c r="AB16" s="18">
        <f>SUM(M16:AA16)</f>
        <v/>
      </c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</row>
    <row r="17" ht="21" customFormat="1" customHeight="1" s="98">
      <c r="A17" s="14" t="inlineStr">
        <is>
          <t>FRANCA</t>
        </is>
      </c>
      <c r="B17" s="15" t="inlineStr">
        <is>
          <t>CHAPA_37</t>
        </is>
      </c>
      <c r="C17" s="10">
        <f>AB17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IF(E17&lt;=$F$67,E17*$G$67,IF(E17&lt;=$F$68,E17*$G$68,IF(E17&lt;=$F$69,E17*$G$69,513.0125)))</f>
        <v/>
      </c>
      <c r="J17" s="9" t="n"/>
      <c r="K17" s="10" t="n"/>
      <c r="L17" s="10" t="n"/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107.65</v>
      </c>
      <c r="Z17" s="17" t="n">
        <v>0</v>
      </c>
      <c r="AA17" s="17" t="n"/>
      <c r="AB17" s="18">
        <f>SUM(M17:AA17)</f>
        <v/>
      </c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</row>
    <row r="18" ht="21" customFormat="1" customHeight="1" s="98">
      <c r="A18" s="14" t="inlineStr">
        <is>
          <t>FRANCA</t>
        </is>
      </c>
      <c r="C18" s="10">
        <f>AB18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IF(E18&lt;=$F$67,E18*$G$67,IF(E18&lt;=$F$68,E18*$G$68,IF(E18&lt;=$F$69,E18*$G$69,513.0125)))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8">
        <f>SUM(M18:AA18)</f>
        <v/>
      </c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</row>
    <row r="19" ht="21" customFormat="1" customHeight="1" s="98">
      <c r="A19" s="14" t="inlineStr">
        <is>
          <t>FRANCA</t>
        </is>
      </c>
      <c r="B19" s="22" t="n"/>
      <c r="C19" s="10">
        <f>AB19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IF(E19&lt;=$F$67,E19*$G$67,IF(E19&lt;=$F$68,E19*$G$68,IF(E19&lt;=$F$69,E19*$G$69,513.0125)))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8">
        <f>SUM(M19:AA19)</f>
        <v/>
      </c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</row>
    <row r="20" ht="21" customFormat="1" customHeight="1" s="98">
      <c r="A20" s="14" t="inlineStr">
        <is>
          <t>FRANCA</t>
        </is>
      </c>
      <c r="C20" s="10">
        <f>AB20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IF(E20&lt;=$F$67,E20*$G$67,IF(E20&lt;=$F$68,E20*$G$68,IF(E20&lt;=$F$69,E20*$G$69,513.0125)))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8">
        <f>SUM(M20:AA20)</f>
        <v/>
      </c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</row>
    <row r="21" ht="21" customFormat="1" customHeight="1" s="98">
      <c r="A21" s="14" t="inlineStr">
        <is>
          <t>FRANCA</t>
        </is>
      </c>
      <c r="B21" s="15" t="n"/>
      <c r="C21" s="10">
        <f>AB21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IF(E21&lt;=$F$67,E21*$G$67,IF(E21&lt;=$F$68,E21*$G$68,IF(E21&lt;=$F$69,E21*$G$69,513.0125)))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8">
        <f>SUM(M21:AA21)</f>
        <v/>
      </c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</row>
    <row r="22" ht="21" customFormat="1" customHeight="1" s="98">
      <c r="A22" s="14" t="inlineStr">
        <is>
          <t>FRANCA</t>
        </is>
      </c>
      <c r="B22" s="15" t="n"/>
      <c r="C22" s="10">
        <f>AB22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IF(E22&lt;=$F$67,E22*$G$67,IF(E22&lt;=$F$68,E22*$G$68,IF(E22&lt;=$F$69,E22*$G$69,513.0125)))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8">
        <f>SUM(M22:AA22)</f>
        <v/>
      </c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</row>
    <row r="23" ht="21" customFormat="1" customHeight="1" s="98">
      <c r="A23" s="14" t="inlineStr">
        <is>
          <t>FRANCA</t>
        </is>
      </c>
      <c r="B23" s="15" t="n"/>
      <c r="C23" s="10">
        <f>AB23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IF(E23&lt;=$F$67,E23*$G$67,IF(E23&lt;=$F$68,E23*$G$68,IF(E23&lt;=$F$69,E23*$G$69,513.0125)))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8">
        <f>SUM(M23:AA23)</f>
        <v/>
      </c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</row>
    <row r="24" ht="21" customFormat="1" customHeight="1" s="98">
      <c r="A24" s="14" t="inlineStr">
        <is>
          <t>FRANCA</t>
        </is>
      </c>
      <c r="B24" s="24" t="n"/>
      <c r="C24" s="10">
        <f>AB24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IF(E24&lt;=$F$67,E24*$G$67,IF(E24&lt;=$F$68,E24*$G$68,IF(E24&lt;=$F$69,E24*$G$69,513.0125)))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8">
        <f>SUM(M24:AA24)</f>
        <v/>
      </c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</row>
    <row r="25" ht="21" customFormat="1" customHeight="1" s="98">
      <c r="A25" s="14" t="inlineStr">
        <is>
          <t>FRANCA</t>
        </is>
      </c>
      <c r="B25" s="15" t="n"/>
      <c r="C25" s="10">
        <f>AB25</f>
        <v/>
      </c>
      <c r="D25" s="10">
        <f>C25*0.1818</f>
        <v/>
      </c>
      <c r="E25" s="10">
        <f>SUM(C25:D25)</f>
        <v/>
      </c>
      <c r="F25" s="10">
        <f>E25*0.1111</f>
        <v/>
      </c>
      <c r="G25" s="10">
        <f>E25*0.083</f>
        <v/>
      </c>
      <c r="H25" s="10">
        <f>SUM(E25:G25)*0.08</f>
        <v/>
      </c>
      <c r="I25" s="16">
        <f>IF(E25&lt;=$F$67,E25*$G$67,IF(E25&lt;=$F$68,E25*$G$68,IF(E25&lt;=$F$69,E25*$G$69,513.0125)))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8">
        <f>SUM(M25:AA25)</f>
        <v/>
      </c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</row>
    <row r="26" ht="21.6" customFormat="1" customHeight="1" s="98" thickBot="1">
      <c r="A26" s="25" t="n"/>
      <c r="B26" s="15" t="n"/>
      <c r="C26" s="26">
        <f>AB26</f>
        <v/>
      </c>
      <c r="D26" s="26">
        <f>C26*0.1818</f>
        <v/>
      </c>
      <c r="E26" s="26">
        <f>SUM(C26:D26)</f>
        <v/>
      </c>
      <c r="F26" s="26">
        <f>E26*0.1111</f>
        <v/>
      </c>
      <c r="G26" s="26">
        <f>E26*0.083</f>
        <v/>
      </c>
      <c r="H26" s="26">
        <f>SUM(E26:G26)*0.08</f>
        <v/>
      </c>
      <c r="I26" s="27">
        <f>IF(E26&lt;=$F$67,E26*$G$67,IF(E26&lt;=$F$68,E26*$G$68,IF(E26&lt;=$F$69,E26*$G$69,513.0125)))</f>
        <v/>
      </c>
      <c r="J26" s="9" t="n"/>
      <c r="K26" s="10" t="n"/>
      <c r="L26" s="10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8">
        <f>SUM(M26:AA26)</f>
        <v/>
      </c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</row>
    <row r="27" ht="21" customFormat="1" customHeight="1" s="98" thickBot="1">
      <c r="A27" s="10" t="n"/>
      <c r="B27" s="15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28">
        <f>COUNT(M26:M26)</f>
        <v/>
      </c>
      <c r="N27" s="28">
        <f>COUNT(N26:N26)</f>
        <v/>
      </c>
      <c r="O27" s="28">
        <f>COUNT(O26:O26)</f>
        <v/>
      </c>
      <c r="P27" s="28">
        <f>COUNT(P26:P26)</f>
        <v/>
      </c>
      <c r="Q27" s="28">
        <f>COUNT(Q26:Q26)</f>
        <v/>
      </c>
      <c r="R27" s="28" t="n"/>
      <c r="S27" s="28">
        <f>COUNT(S26:S26)</f>
        <v/>
      </c>
      <c r="T27" s="28">
        <f>COUNT(T26:T26)</f>
        <v/>
      </c>
      <c r="U27" s="28" t="n"/>
      <c r="V27" s="28" t="n"/>
      <c r="W27" s="28" t="n"/>
      <c r="X27" s="28" t="n"/>
      <c r="Y27" s="28" t="n"/>
      <c r="Z27" s="28" t="n"/>
      <c r="AA27" s="28" t="n"/>
      <c r="AB27" s="10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</row>
    <row r="28" ht="21.6" customFormat="1" customHeight="1" s="98" thickBot="1">
      <c r="J28" s="10" t="n"/>
      <c r="K28" s="10" t="n"/>
      <c r="L28" s="10" t="n"/>
      <c r="M28" s="29" t="inlineStr">
        <is>
          <t>TOTAL GERAL / BOLETIM ENSACADORES:</t>
        </is>
      </c>
      <c r="N28" s="30" t="n"/>
      <c r="O28" s="30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2" t="inlineStr">
        <is>
          <t>TOTAL:</t>
        </is>
      </c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</row>
    <row r="29" ht="21.6" customFormat="1" customHeight="1" s="98" thickBot="1">
      <c r="A29" s="36" t="inlineStr">
        <is>
          <t>MÉDIA DIÁRIA CHAPAS</t>
        </is>
      </c>
      <c r="B29" s="36" t="n"/>
      <c r="C29" s="37" t="n">
        <v>11</v>
      </c>
      <c r="J29" s="10" t="n"/>
      <c r="K29" s="10" t="n"/>
      <c r="L29" s="10" t="n"/>
      <c r="M29" s="33">
        <f>SUM(M6:M26)</f>
        <v/>
      </c>
      <c r="N29" s="33">
        <f>SUM(N6:N26)</f>
        <v/>
      </c>
      <c r="O29" s="33">
        <f>SUM(O6:O26)</f>
        <v/>
      </c>
      <c r="P29" s="33">
        <f>SUM(P6:P26)</f>
        <v/>
      </c>
      <c r="Q29" s="33">
        <f>SUM(Q6:Q26)</f>
        <v/>
      </c>
      <c r="R29" s="33">
        <f>SUM(R6:R26)</f>
        <v/>
      </c>
      <c r="S29" s="33">
        <f>SUM(S6:S26)</f>
        <v/>
      </c>
      <c r="T29" s="33">
        <f>SUM(T6:T26)</f>
        <v/>
      </c>
      <c r="U29" s="33">
        <f>SUM(U6:U26)</f>
        <v/>
      </c>
      <c r="V29" s="33">
        <f>SUM(V6:V26)</f>
        <v/>
      </c>
      <c r="W29" s="33">
        <f>SUM(W6:W26)</f>
        <v/>
      </c>
      <c r="X29" s="33">
        <f>SUM(X6:X26)</f>
        <v/>
      </c>
      <c r="Y29" s="33">
        <f>SUM(Y6:Y26)</f>
        <v/>
      </c>
      <c r="Z29" s="33" t="n"/>
      <c r="AA29" s="33">
        <f>SUM(AA6:AA26)</f>
        <v/>
      </c>
      <c r="AB29" s="34" t="n"/>
      <c r="AC29" s="35">
        <f>SUM(M29:AA29)</f>
        <v/>
      </c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</row>
    <row r="30" ht="20.4" customFormat="1" customHeight="1" s="98">
      <c r="J30" s="10" t="n"/>
      <c r="K30" s="10" t="n"/>
      <c r="L30" s="10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</row>
    <row r="31" ht="20.4" customFormat="1" customHeight="1" s="98"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</row>
    <row r="32" ht="20.4" customFormat="1" customHeight="1" s="100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99" t="n"/>
      <c r="AE32" s="99" t="n"/>
      <c r="AF32" s="99" t="n"/>
      <c r="AG32" s="99" t="n"/>
      <c r="AH32" s="99" t="n"/>
      <c r="AI32" s="99" t="n"/>
      <c r="AJ32" s="99" t="n"/>
      <c r="AK32" s="99" t="n"/>
      <c r="AL32" s="99" t="n"/>
      <c r="AM32" s="99" t="n"/>
      <c r="AN32" s="99" t="n"/>
      <c r="AO32" s="99" t="n"/>
    </row>
    <row r="33" ht="21.6" customFormat="1" customHeight="1" s="98" thickBot="1">
      <c r="A33" s="38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</row>
    <row r="34" ht="21" customFormat="1" customHeight="1" s="98" thickBot="1">
      <c r="A34" s="111" t="inlineStr">
        <is>
          <t>2ª QUINZENA</t>
        </is>
      </c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08" t="n"/>
      <c r="L34" s="4" t="n"/>
      <c r="M34" s="112" t="inlineStr">
        <is>
          <t xml:space="preserve">TOTAL </t>
        </is>
      </c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10" t="n"/>
      <c r="AD34" s="2" t="n"/>
      <c r="AE34" s="2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</row>
    <row r="35" ht="21.6" customFormat="1" customHeight="1" s="98" thickBot="1">
      <c r="A35" s="40" t="inlineStr">
        <is>
          <t>LOCAL</t>
        </is>
      </c>
      <c r="B35" s="40" t="inlineStr">
        <is>
          <t>NOME</t>
        </is>
      </c>
      <c r="C35" s="41" t="inlineStr">
        <is>
          <t>DIÁRIA</t>
        </is>
      </c>
      <c r="D35" s="41" t="inlineStr">
        <is>
          <t>DSR</t>
        </is>
      </c>
      <c r="E35" s="41" t="inlineStr">
        <is>
          <t>TOTAL</t>
        </is>
      </c>
      <c r="F35" s="41" t="inlineStr">
        <is>
          <t>FÉRIAS</t>
        </is>
      </c>
      <c r="G35" s="41" t="inlineStr">
        <is>
          <t>13º SALÁRIO</t>
        </is>
      </c>
      <c r="H35" s="41" t="inlineStr">
        <is>
          <t>FGTS</t>
        </is>
      </c>
      <c r="I35" s="42" t="inlineStr">
        <is>
          <t>T. 1º Q.</t>
        </is>
      </c>
      <c r="J35" s="42" t="inlineStr">
        <is>
          <t>INSS 1º</t>
        </is>
      </c>
      <c r="K35" s="43" t="inlineStr">
        <is>
          <t>INSS</t>
        </is>
      </c>
      <c r="L35" s="9" t="n"/>
      <c r="M35" s="44" t="n">
        <v>45977</v>
      </c>
      <c r="N35" s="44" t="n">
        <v>45978</v>
      </c>
      <c r="O35" s="44" t="n">
        <v>45979</v>
      </c>
      <c r="P35" s="44" t="n">
        <v>45980</v>
      </c>
      <c r="Q35" s="44" t="n">
        <v>45981</v>
      </c>
      <c r="R35" s="44" t="n">
        <v>45982</v>
      </c>
      <c r="S35" s="44" t="n">
        <v>45983</v>
      </c>
      <c r="T35" s="44" t="n">
        <v>45984</v>
      </c>
      <c r="U35" s="44" t="n">
        <v>45985</v>
      </c>
      <c r="V35" s="44" t="n">
        <v>45986</v>
      </c>
      <c r="W35" s="44" t="n">
        <v>45987</v>
      </c>
      <c r="X35" s="44" t="n">
        <v>45988</v>
      </c>
      <c r="Y35" s="44" t="n">
        <v>45989</v>
      </c>
      <c r="Z35" s="44" t="n">
        <v>45990</v>
      </c>
      <c r="AA35" s="44" t="n">
        <v>45991</v>
      </c>
      <c r="AB35" s="8" t="inlineStr">
        <is>
          <t>TOTAL</t>
        </is>
      </c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</row>
    <row r="36" ht="21" customFormat="1" customHeight="1" s="98">
      <c r="A36" s="46" t="inlineStr">
        <is>
          <t>FRANCA</t>
        </is>
      </c>
      <c r="B36" s="22" t="inlineStr">
        <is>
          <t>CHAPA_08</t>
        </is>
      </c>
      <c r="C36" s="10">
        <f>AB36</f>
        <v/>
      </c>
      <c r="D36" s="10">
        <f>C36*0.1818</f>
        <v/>
      </c>
      <c r="E36" s="10">
        <f>SUM(C36:D36)</f>
        <v/>
      </c>
      <c r="F36" s="10">
        <f>E36*0.1111</f>
        <v/>
      </c>
      <c r="G36" s="10">
        <f>E36*0.083</f>
        <v/>
      </c>
      <c r="H36" s="10">
        <f>SUM(E36:G36)*0.08</f>
        <v/>
      </c>
      <c r="I36" s="10">
        <f>IF(E36&lt;=$F$67,E36*$G$67,IF(E36&lt;=$F$68,E36*$G$68,IF(E36&lt;=$F$69,E36*$G$69,513.0125)))</f>
        <v/>
      </c>
      <c r="J36" s="88">
        <f>IF(#REF!=0,0,VLOOKUP(B36,$B$6:$I$26,8,0))</f>
        <v/>
      </c>
      <c r="K36" s="89">
        <f>IF(E36+I36&lt;=$K$60,(E36+I36)*J70-J36,IF(E36+I36&lt;=$K$61,(E36+I36)*J71-J36,IF(E36+I36&lt;=$K$62,(E36+I36)*L72-J36,513.0125)))</f>
        <v/>
      </c>
      <c r="L36" s="9" t="n"/>
      <c r="M36" s="17" t="n">
        <v>0</v>
      </c>
      <c r="N36" s="17" t="n">
        <v>99.2</v>
      </c>
      <c r="O36" s="17" t="n">
        <v>124.55</v>
      </c>
      <c r="P36" s="17" t="n">
        <v>99.19</v>
      </c>
      <c r="Q36" s="17" t="n">
        <v>0</v>
      </c>
      <c r="R36" s="17" t="n">
        <v>99.2</v>
      </c>
      <c r="S36" s="17" t="n">
        <v>0</v>
      </c>
      <c r="T36" s="17" t="n">
        <v>0</v>
      </c>
      <c r="U36" s="17" t="n">
        <v>0</v>
      </c>
      <c r="V36" s="17" t="n">
        <v>158.36</v>
      </c>
      <c r="W36" s="17" t="n">
        <v>149.91</v>
      </c>
      <c r="X36" s="17" t="n">
        <v>99.19</v>
      </c>
      <c r="Y36" s="17" t="n">
        <v>0</v>
      </c>
      <c r="Z36" s="17" t="n">
        <v>87.34999999999999</v>
      </c>
      <c r="AA36" s="17" t="n">
        <v>0</v>
      </c>
      <c r="AB36" s="49">
        <f>SUM(M36:AA36)</f>
        <v/>
      </c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</row>
    <row r="37" ht="21" customFormat="1" customHeight="1" s="98">
      <c r="A37" s="46" t="inlineStr">
        <is>
          <t>FRANCA</t>
        </is>
      </c>
      <c r="B37" s="22" t="inlineStr">
        <is>
          <t>CHAPA_09</t>
        </is>
      </c>
      <c r="C37" s="90">
        <f>AB37</f>
        <v/>
      </c>
      <c r="D37" s="90">
        <f>C37*0.1818</f>
        <v/>
      </c>
      <c r="E37" s="90">
        <f>SUM(C37:D37)</f>
        <v/>
      </c>
      <c r="F37" s="90">
        <f>E37*0.1111</f>
        <v/>
      </c>
      <c r="G37" s="90">
        <f>E37*0.083</f>
        <v/>
      </c>
      <c r="H37" s="90">
        <f>SUM(E37:G37)*0.08</f>
        <v/>
      </c>
      <c r="I37" s="88">
        <f>AB6</f>
        <v/>
      </c>
      <c r="J37" s="88">
        <f>IF(I6=0,0,VLOOKUP(B36,$B$6:$I$26,8,0))</f>
        <v/>
      </c>
      <c r="K37" s="89">
        <f>IF(E37+I37&lt;=$K$60,(E37+I37)*J71-J37,IF(E37+I37&lt;=$K$61,(E37+I37)*J72-J37,IF(E37+I37&lt;=$K$62,(E37+I37)*L73-J37,513.0125)))</f>
        <v/>
      </c>
      <c r="L37" s="9" t="n"/>
      <c r="M37" s="17" t="n">
        <v>0</v>
      </c>
      <c r="N37" s="17" t="n">
        <v>99.2</v>
      </c>
      <c r="O37" s="17" t="n">
        <v>99.2</v>
      </c>
      <c r="P37" s="17" t="n">
        <v>99.19</v>
      </c>
      <c r="Q37" s="17" t="n">
        <v>0</v>
      </c>
      <c r="R37" s="17" t="n">
        <v>99.2</v>
      </c>
      <c r="S37" s="17" t="n">
        <v>28.18</v>
      </c>
      <c r="T37" s="17" t="n">
        <v>0</v>
      </c>
      <c r="U37" s="17" t="n">
        <v>0</v>
      </c>
      <c r="V37" s="17" t="n">
        <v>158.36</v>
      </c>
      <c r="W37" s="17" t="n">
        <v>149.91</v>
      </c>
      <c r="X37" s="17" t="n">
        <v>99.19</v>
      </c>
      <c r="Y37" s="17" t="n">
        <v>0</v>
      </c>
      <c r="Z37" s="17" t="n">
        <v>0</v>
      </c>
      <c r="AA37" s="17" t="n">
        <v>0</v>
      </c>
      <c r="AB37" s="49">
        <f>SUM(M37:AA37)</f>
        <v/>
      </c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</row>
    <row r="38" ht="21" customFormat="1" customHeight="1" s="98">
      <c r="A38" s="46" t="inlineStr">
        <is>
          <t>FRANCA</t>
        </is>
      </c>
      <c r="B38" s="22" t="inlineStr">
        <is>
          <t>CHAPA_15</t>
        </is>
      </c>
      <c r="C38" s="10">
        <f>AB38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IF(E38&lt;=$F$67,E38*$G$67,IF(E38&lt;=$F$68,E38*$G$68,IF(E38&lt;=$F$69,E38*$G$69,513.0125)))</f>
        <v/>
      </c>
      <c r="J38" s="88">
        <f>IF(I8=0,0,VLOOKUP(B38,$B$6:$I$26,8,0))</f>
        <v/>
      </c>
      <c r="K38" s="89">
        <f>IF(E38+I38&lt;=$K$60,(E38+I38)*J72-J38,IF(E38+I38&lt;=$K$61,(E38+I38)*J73-J38,IF(E38+I38&lt;=$K$62,(E38+I38)*L74-J38,513.0125)))</f>
        <v/>
      </c>
      <c r="L38" s="9" t="n"/>
      <c r="M38" s="17" t="n">
        <v>0</v>
      </c>
      <c r="N38" s="17" t="n">
        <v>99.2</v>
      </c>
      <c r="O38" s="17" t="n">
        <v>99.2</v>
      </c>
      <c r="P38" s="17" t="n">
        <v>99.19</v>
      </c>
      <c r="Q38" s="17" t="n">
        <v>0</v>
      </c>
      <c r="R38" s="17" t="n">
        <v>99.2</v>
      </c>
      <c r="S38" s="17" t="n">
        <v>45.08</v>
      </c>
      <c r="T38" s="17" t="n">
        <v>0</v>
      </c>
      <c r="U38" s="17" t="n">
        <v>99.2</v>
      </c>
      <c r="V38" s="17" t="n">
        <v>99.19</v>
      </c>
      <c r="W38" s="17" t="n">
        <v>99.19</v>
      </c>
      <c r="X38" s="17" t="n">
        <v>99.19</v>
      </c>
      <c r="Y38" s="17" t="n">
        <v>0</v>
      </c>
      <c r="Z38" s="17" t="n">
        <v>45.09</v>
      </c>
      <c r="AA38" s="17" t="n">
        <v>0</v>
      </c>
      <c r="AB38" s="49">
        <f>SUM(M38:AA38)</f>
        <v/>
      </c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</row>
    <row r="39" ht="21" customFormat="1" customHeight="1" s="98">
      <c r="A39" s="46" t="inlineStr">
        <is>
          <t>FRANCA</t>
        </is>
      </c>
      <c r="B39" s="22" t="inlineStr">
        <is>
          <t>CHAPA_17</t>
        </is>
      </c>
      <c r="C39" s="10">
        <f>AB39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IF(E39&lt;=$F$67,E39*$G$67,IF(E39&lt;=$F$68,E39*$G$68,IF(E39&lt;=$F$69,E39*$G$69,513.0125)))</f>
        <v/>
      </c>
      <c r="J39" s="88">
        <f>IF(I10=0,0,VLOOKUP(B39,$B$6:$I$26,8,0))</f>
        <v/>
      </c>
      <c r="K39" s="89">
        <f>IF(E39+I39&lt;=$K$60,(E39+I39)*J73-J39,IF(E39+I39&lt;=$K$61,(E39+I39)*J74-J39,IF(E39+I39&lt;=$K$62,(E39+I39)*L75-J39,513.0125)))</f>
        <v/>
      </c>
      <c r="L39" s="9" t="n"/>
      <c r="M39" s="17" t="n">
        <v>0</v>
      </c>
      <c r="N39" s="17" t="n">
        <v>99.19</v>
      </c>
      <c r="O39" s="17" t="n">
        <v>99.19</v>
      </c>
      <c r="P39" s="17" t="n">
        <v>99.19</v>
      </c>
      <c r="Q39" s="17" t="n">
        <v>0</v>
      </c>
      <c r="R39" s="17" t="n">
        <v>99.2</v>
      </c>
      <c r="S39" s="17" t="n">
        <v>45.08</v>
      </c>
      <c r="T39" s="17" t="n">
        <v>0</v>
      </c>
      <c r="U39" s="17" t="n">
        <v>99.2</v>
      </c>
      <c r="V39" s="17" t="n">
        <v>0</v>
      </c>
      <c r="W39" s="17" t="n">
        <v>99.19</v>
      </c>
      <c r="X39" s="17" t="n">
        <v>149.91</v>
      </c>
      <c r="Y39" s="17" t="n">
        <v>0</v>
      </c>
      <c r="Z39" s="17" t="n">
        <v>45.09</v>
      </c>
      <c r="AA39" s="17" t="n">
        <v>0</v>
      </c>
      <c r="AB39" s="49">
        <f>SUM(M39:AA39)</f>
        <v/>
      </c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</row>
    <row r="40" ht="21" customFormat="1" customHeight="1" s="98">
      <c r="A40" s="46" t="inlineStr">
        <is>
          <t>FRANCA</t>
        </is>
      </c>
      <c r="B40" s="101" t="inlineStr">
        <is>
          <t>CHAPA_30</t>
        </is>
      </c>
      <c r="C40" s="90">
        <f>AB40</f>
        <v/>
      </c>
      <c r="D40" s="90">
        <f>C40*0.1818</f>
        <v/>
      </c>
      <c r="E40" s="90">
        <f>SUM(C40:D40)</f>
        <v/>
      </c>
      <c r="F40" s="90">
        <f>E40*0.1111</f>
        <v/>
      </c>
      <c r="G40" s="90">
        <f>E40*0.083</f>
        <v/>
      </c>
      <c r="H40" s="90">
        <f>SUM(E40:G40)*0.08</f>
        <v/>
      </c>
      <c r="I40" s="88">
        <f>AB10</f>
        <v/>
      </c>
      <c r="J40" s="88">
        <f>IF(I10=0,0,VLOOKUP(B40,$B$6:$I$26,8,0))</f>
        <v/>
      </c>
      <c r="K40" s="89">
        <f>IF(E40+I40&lt;=$K$60,(E40+I40)*J74-J40,IF(E40+I40&lt;=$K$61,(E40+I40)*J75-J40,IF(E40+I40&lt;=$K$62,(E40+I40)*L76-J40,513.0125)))</f>
        <v/>
      </c>
      <c r="L40" s="9" t="n"/>
      <c r="M40" s="17" t="n">
        <v>0</v>
      </c>
      <c r="N40" s="17" t="n">
        <v>99.19</v>
      </c>
      <c r="O40" s="17" t="n">
        <v>99.19</v>
      </c>
      <c r="P40" s="17" t="n">
        <v>99.19</v>
      </c>
      <c r="Q40" s="17" t="n">
        <v>0</v>
      </c>
      <c r="R40" s="17" t="n">
        <v>99.19</v>
      </c>
      <c r="S40" s="17" t="n">
        <v>0</v>
      </c>
      <c r="T40" s="17" t="n">
        <v>0</v>
      </c>
      <c r="U40" s="102" t="n">
        <v>99.2</v>
      </c>
      <c r="V40" s="102" t="n">
        <v>99.19</v>
      </c>
      <c r="W40" s="102" t="n">
        <v>99.19</v>
      </c>
      <c r="X40" s="17" t="n">
        <v>99.19</v>
      </c>
      <c r="Y40" s="17" t="n">
        <v>0</v>
      </c>
      <c r="Z40" s="17" t="n">
        <v>45.09</v>
      </c>
      <c r="AA40" s="17" t="n">
        <v>0</v>
      </c>
      <c r="AB40" s="49">
        <f>SUM(M40:AA40)</f>
        <v/>
      </c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</row>
    <row r="41" ht="21" customFormat="1" customHeight="1" s="98">
      <c r="A41" s="46" t="inlineStr">
        <is>
          <t>FRANCA</t>
        </is>
      </c>
      <c r="B41" s="101" t="inlineStr">
        <is>
          <t>CHAPA_26</t>
        </is>
      </c>
      <c r="C41" s="10">
        <f>AB41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IF(E41&lt;=$F$67,E41*$G$67,IF(E41&lt;=$F$68,E41*$G$68,IF(E41&lt;=$F$69,E41*$G$69,513.0125)))</f>
        <v/>
      </c>
      <c r="J41" s="88">
        <f>IF(#REF!=0,0,VLOOKUP(#REF!,$B$6:$I$26,8,0))</f>
        <v/>
      </c>
      <c r="K41" s="89">
        <f>IF(E41+I41&lt;=$K$60,(E41+I41)*J75-J41,IF(E41+I41&lt;=$K$61,(E41+I41)*J76-J41,IF(E41+I41&lt;=$K$62,(E41+I41)*L77-J41,513.0125)))</f>
        <v/>
      </c>
      <c r="L41" s="9" t="n"/>
      <c r="M41" s="17" t="n">
        <v>0</v>
      </c>
      <c r="N41" s="102" t="n">
        <v>99.19</v>
      </c>
      <c r="O41" s="102" t="n">
        <v>99.19</v>
      </c>
      <c r="P41" s="102" t="n">
        <v>99.19</v>
      </c>
      <c r="Q41" s="17" t="n">
        <v>0</v>
      </c>
      <c r="R41" s="103" t="n">
        <v>99.19</v>
      </c>
      <c r="S41" s="17" t="n">
        <v>45.09</v>
      </c>
      <c r="T41" s="17" t="n">
        <v>0</v>
      </c>
      <c r="U41" s="17" t="n">
        <v>99.2</v>
      </c>
      <c r="V41" s="102" t="n">
        <v>99.19</v>
      </c>
      <c r="W41" s="102" t="n">
        <v>99.19</v>
      </c>
      <c r="X41" s="17" t="n">
        <v>99.19</v>
      </c>
      <c r="Y41" s="17" t="n">
        <v>0</v>
      </c>
      <c r="Z41" s="17" t="n">
        <v>87.34999999999999</v>
      </c>
      <c r="AA41" s="17" t="n">
        <v>0</v>
      </c>
      <c r="AB41" s="49">
        <f>SUM(M41:AA41)</f>
        <v/>
      </c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</row>
    <row r="42" ht="21" customFormat="1" customHeight="1" s="98">
      <c r="A42" s="46" t="inlineStr">
        <is>
          <t>FRANCA</t>
        </is>
      </c>
      <c r="B42" s="15" t="inlineStr">
        <is>
          <t>CHAPA_31</t>
        </is>
      </c>
      <c r="C42" s="10">
        <f>AB42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IF(E42&lt;=$F$67,E42*$G$67,IF(E42&lt;=$F$68,E42*$G$68,IF(E42&lt;=$F$69,E42*$G$69,513.0125)))</f>
        <v/>
      </c>
      <c r="J42" s="88">
        <f>IF(I13=0,0,VLOOKUP(B42,$B$6:$I$26,8,0))</f>
        <v/>
      </c>
      <c r="K42" s="89">
        <f>IF(E42+I42&lt;=$K$60,(E42+I42)*J77-J42,IF(E42+I42&lt;=$K$61,(E42+I42)*J78-J42,IF(E42+I42&lt;=$K$62,(E42+I42)*L79-J42,513.0125)))</f>
        <v/>
      </c>
      <c r="L42" s="9" t="n"/>
      <c r="M42" s="17" t="n">
        <v>0</v>
      </c>
      <c r="N42" s="17" t="n">
        <v>99.19</v>
      </c>
      <c r="O42" s="17" t="n">
        <v>0</v>
      </c>
      <c r="P42" s="17" t="n">
        <v>99.2</v>
      </c>
      <c r="Q42" s="17" t="n">
        <v>0</v>
      </c>
      <c r="R42" s="17" t="n">
        <v>99.19</v>
      </c>
      <c r="S42" s="17" t="n">
        <v>45.09</v>
      </c>
      <c r="T42" s="17" t="n">
        <v>0</v>
      </c>
      <c r="U42" s="17" t="n">
        <v>0</v>
      </c>
      <c r="V42" s="17" t="n">
        <v>99.2</v>
      </c>
      <c r="W42" s="17" t="n">
        <v>99.2</v>
      </c>
      <c r="X42" s="17" t="n">
        <v>99.2</v>
      </c>
      <c r="Y42" s="17" t="n">
        <v>0</v>
      </c>
      <c r="Z42" s="17" t="n">
        <v>0</v>
      </c>
      <c r="AA42" s="17" t="n">
        <v>0</v>
      </c>
      <c r="AB42" s="49">
        <f>SUM(M42:AA42)</f>
        <v/>
      </c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</row>
    <row r="43" ht="21" customFormat="1" customHeight="1" s="98">
      <c r="A43" s="46" t="inlineStr">
        <is>
          <t>FRANCA</t>
        </is>
      </c>
      <c r="B43" s="15" t="inlineStr">
        <is>
          <t>CHAPA_37</t>
        </is>
      </c>
      <c r="C43" s="90">
        <f>AB43</f>
        <v/>
      </c>
      <c r="D43" s="90">
        <f>C43*0.1818</f>
        <v/>
      </c>
      <c r="E43" s="90">
        <f>SUM(C43:D43)</f>
        <v/>
      </c>
      <c r="F43" s="90">
        <f>E43*0.1111</f>
        <v/>
      </c>
      <c r="G43" s="90">
        <f>E43*0.083</f>
        <v/>
      </c>
      <c r="H43" s="90">
        <f>SUM(E43:G43)*0.08</f>
        <v/>
      </c>
      <c r="I43" s="88">
        <f>AB15</f>
        <v/>
      </c>
      <c r="J43" s="88">
        <f>IF(I15=0,0,VLOOKUP(#REF!,$B$6:$I$26,8,0))</f>
        <v/>
      </c>
      <c r="K43" s="89">
        <f>IF(E43+I43&lt;=$K$60,(E43+I43)*J79-J43,IF(E43+I43&lt;=$K$61,(E43+I43)*J80-J43,IF(E43+I43&lt;=$K$62,(E43+I43)*L81-J43,513.0125)))</f>
        <v/>
      </c>
      <c r="L43" s="9" t="n"/>
      <c r="M43" s="17" t="n">
        <v>0</v>
      </c>
      <c r="N43" s="17" t="n">
        <v>99.19</v>
      </c>
      <c r="O43" s="17" t="n">
        <v>0</v>
      </c>
      <c r="P43" s="17" t="n">
        <v>99.2</v>
      </c>
      <c r="Q43" s="17" t="n">
        <v>0</v>
      </c>
      <c r="R43" s="17" t="n">
        <v>99.19</v>
      </c>
      <c r="S43" s="17" t="n">
        <v>45.09</v>
      </c>
      <c r="T43" s="17" t="n">
        <v>0</v>
      </c>
      <c r="U43" s="17" t="n">
        <v>99.19</v>
      </c>
      <c r="V43" s="17" t="n">
        <v>99.2</v>
      </c>
      <c r="W43" s="17" t="n">
        <v>99.2</v>
      </c>
      <c r="X43" s="17" t="n">
        <v>99.2</v>
      </c>
      <c r="Y43" s="17" t="n">
        <v>0</v>
      </c>
      <c r="Z43" s="17" t="n">
        <v>45.09</v>
      </c>
      <c r="AA43" s="17" t="n">
        <v>0</v>
      </c>
      <c r="AB43" s="49">
        <f>SUM(M43:AA43)</f>
        <v/>
      </c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</row>
    <row r="44" ht="21" customFormat="1" customHeight="1" s="98">
      <c r="A44" s="46" t="inlineStr">
        <is>
          <t>FRANCA</t>
        </is>
      </c>
      <c r="B44" s="22" t="inlineStr">
        <is>
          <t>CHAPA_38</t>
        </is>
      </c>
      <c r="C44" s="90">
        <f>AB44</f>
        <v/>
      </c>
      <c r="D44" s="90">
        <f>C44*0.1818</f>
        <v/>
      </c>
      <c r="E44" s="90">
        <f>SUM(C44:D44)</f>
        <v/>
      </c>
      <c r="F44" s="90">
        <f>E44*0.1111</f>
        <v/>
      </c>
      <c r="G44" s="90">
        <f>E44*0.083</f>
        <v/>
      </c>
      <c r="H44" s="90">
        <f>SUM(E44:G44)*0.08</f>
        <v/>
      </c>
      <c r="I44" s="88">
        <f>AB16</f>
        <v/>
      </c>
      <c r="J44" s="88">
        <f>IF(I16=0,0,VLOOKUP(B43,$B$6:$I$26,8,0))</f>
        <v/>
      </c>
      <c r="K44" s="89">
        <f>IF(E44+I44&lt;=$K$60,(E44+I44)*J80-J44,IF(E44+I44&lt;=$K$61,(E44+I44)*J81-J44,IF(E44+I44&lt;=$K$62,(E44+I44)*L82-J44,513.0125)))</f>
        <v/>
      </c>
      <c r="L44" s="9" t="n"/>
      <c r="M44" s="17" t="n">
        <v>0</v>
      </c>
      <c r="N44" s="17" t="n">
        <v>99.19</v>
      </c>
      <c r="O44" s="17" t="n">
        <v>124.56</v>
      </c>
      <c r="P44" s="17" t="n">
        <v>99.2</v>
      </c>
      <c r="Q44" s="17" t="n">
        <v>0</v>
      </c>
      <c r="R44" s="17" t="n">
        <v>99.19</v>
      </c>
      <c r="S44" s="17" t="n">
        <v>45.09</v>
      </c>
      <c r="T44" s="17" t="n">
        <v>0</v>
      </c>
      <c r="U44" s="17" t="n">
        <v>45.08</v>
      </c>
      <c r="V44" s="17" t="n">
        <v>99.2</v>
      </c>
      <c r="W44" s="17" t="n">
        <v>99.2</v>
      </c>
      <c r="X44" s="17" t="n">
        <v>99.2</v>
      </c>
      <c r="Y44" s="17" t="n">
        <v>0</v>
      </c>
      <c r="Z44" s="17" t="n">
        <v>104.26</v>
      </c>
      <c r="AA44" s="17" t="n">
        <v>0</v>
      </c>
      <c r="AB44" s="49">
        <f>SUM(M44:AA44)</f>
        <v/>
      </c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</row>
    <row r="45" ht="21" customFormat="1" customHeight="1" s="98">
      <c r="A45" s="46" t="inlineStr">
        <is>
          <t>FRANCA</t>
        </is>
      </c>
      <c r="B45" s="22" t="inlineStr">
        <is>
          <t>CHAPA_41</t>
        </is>
      </c>
      <c r="C45" s="90">
        <f>AB45</f>
        <v/>
      </c>
      <c r="D45" s="90">
        <f>C45*0.1818</f>
        <v/>
      </c>
      <c r="E45" s="90">
        <f>SUM(C45:D45)</f>
        <v/>
      </c>
      <c r="F45" s="90">
        <f>E45*0.1111</f>
        <v/>
      </c>
      <c r="G45" s="90">
        <f>E45*0.083</f>
        <v/>
      </c>
      <c r="H45" s="90">
        <f>SUM(E45:G45)*0.08</f>
        <v/>
      </c>
      <c r="I45" s="88">
        <f>AB17</f>
        <v/>
      </c>
      <c r="J45" s="88">
        <f>IF(I17=0,0,VLOOKUP(B44,$B$6:$I$26,8,0))</f>
        <v/>
      </c>
      <c r="K45" s="89">
        <f>IF(E45+I45&lt;=$K$60,(E45+I45)*J81-J45,IF(E45+I45&lt;=$K$61,(E45+I45)*J82-J45,IF(E45+I45&lt;=$K$62,(E45+I45)*L83-J45,513.0125)))</f>
        <v/>
      </c>
      <c r="L45" s="9" t="n"/>
      <c r="M45" s="17" t="n">
        <v>0</v>
      </c>
      <c r="N45" s="17" t="n">
        <v>99.19</v>
      </c>
      <c r="O45" s="17" t="n">
        <v>99.19</v>
      </c>
      <c r="P45" s="17" t="n">
        <v>99.2</v>
      </c>
      <c r="Q45" s="17" t="n">
        <v>0</v>
      </c>
      <c r="R45" s="17" t="n">
        <v>99.19</v>
      </c>
      <c r="S45" s="17" t="n">
        <v>45.09</v>
      </c>
      <c r="T45" s="17" t="n">
        <v>0</v>
      </c>
      <c r="U45" s="17" t="n">
        <v>99.19</v>
      </c>
      <c r="V45" s="17" t="n">
        <v>99.2</v>
      </c>
      <c r="W45" s="17" t="n">
        <v>99.2</v>
      </c>
      <c r="X45" s="17" t="n">
        <v>99.2</v>
      </c>
      <c r="Y45" s="17" t="n">
        <v>0</v>
      </c>
      <c r="Z45" s="17" t="n">
        <v>87.34999999999999</v>
      </c>
      <c r="AA45" s="17" t="n">
        <v>0</v>
      </c>
      <c r="AB45" s="49">
        <f>SUM(M45:AA45)</f>
        <v/>
      </c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</row>
    <row r="46" ht="21" customFormat="1" customHeight="1" s="98">
      <c r="A46" s="46" t="inlineStr">
        <is>
          <t>FRANCA</t>
        </is>
      </c>
      <c r="B46" s="22" t="inlineStr">
        <is>
          <t>CHAPA_42</t>
        </is>
      </c>
      <c r="C46" s="90">
        <f>AB46</f>
        <v/>
      </c>
      <c r="D46" s="90">
        <f>C46*0.1818</f>
        <v/>
      </c>
      <c r="E46" s="90">
        <f>SUM(C46:D46)</f>
        <v/>
      </c>
      <c r="F46" s="90">
        <f>E46*0.1111</f>
        <v/>
      </c>
      <c r="G46" s="90">
        <f>E46*0.083</f>
        <v/>
      </c>
      <c r="H46" s="90">
        <f>SUM(E46:G46)*0.08</f>
        <v/>
      </c>
      <c r="I46" s="88">
        <f>AB18</f>
        <v/>
      </c>
      <c r="J46" s="88">
        <f>IF(I18=0,0,VLOOKUP(B46,$B$6:$I$26,8,0))</f>
        <v/>
      </c>
      <c r="K46" s="89">
        <f>IF(E46+I46&lt;=$K$60,(E46+I46)*J82-J46,IF(E46+I46&lt;=$K$61,(E46+I46)*J83-J46,IF(E46+I46&lt;=$K$62,(E46+I46)*L84-J46,513.0125)))</f>
        <v/>
      </c>
      <c r="L46" s="9" t="n"/>
      <c r="M46" s="17" t="n">
        <v>0</v>
      </c>
      <c r="N46" s="17" t="n">
        <v>99.19</v>
      </c>
      <c r="O46" s="17" t="n">
        <v>99.19</v>
      </c>
      <c r="P46" s="17" t="n">
        <v>99.19</v>
      </c>
      <c r="Q46" s="17" t="n">
        <v>0</v>
      </c>
      <c r="R46" s="17" t="n">
        <v>0</v>
      </c>
      <c r="S46" s="17" t="n">
        <v>45.09</v>
      </c>
      <c r="T46" s="17" t="n">
        <v>0</v>
      </c>
      <c r="U46" s="17" t="n">
        <v>99.19</v>
      </c>
      <c r="V46" s="17" t="n">
        <v>99.2</v>
      </c>
      <c r="W46" s="17" t="n">
        <v>99.19</v>
      </c>
      <c r="X46" s="17" t="n">
        <v>99.19</v>
      </c>
      <c r="Y46" s="17" t="n">
        <v>0</v>
      </c>
      <c r="Z46" s="17" t="n">
        <v>45.09</v>
      </c>
      <c r="AA46" s="17" t="n">
        <v>0</v>
      </c>
      <c r="AB46" s="49">
        <f>SUM(M46:AA46)</f>
        <v/>
      </c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</row>
    <row r="47" ht="21" customFormat="1" customHeight="1" s="98">
      <c r="A47" s="46" t="inlineStr">
        <is>
          <t>FRANCA</t>
        </is>
      </c>
      <c r="B47" s="22" t="inlineStr">
        <is>
          <t>CHAPA_43</t>
        </is>
      </c>
      <c r="C47" s="90" t="n">
        <v>0</v>
      </c>
      <c r="D47" s="90">
        <f>C47*0.1818</f>
        <v/>
      </c>
      <c r="E47" s="90">
        <f>SUM(C47:D47)</f>
        <v/>
      </c>
      <c r="F47" s="90">
        <f>E47*0.1111</f>
        <v/>
      </c>
      <c r="G47" s="90">
        <f>E47*0.083</f>
        <v/>
      </c>
      <c r="H47" s="90">
        <f>SUM(E47:G47)*0.08</f>
        <v/>
      </c>
      <c r="I47" s="88">
        <f>AB19</f>
        <v/>
      </c>
      <c r="J47" s="88">
        <f>IF(I19=0,0,VLOOKUP(B41,$B$6:$I$26,8,0))</f>
        <v/>
      </c>
      <c r="K47" s="89">
        <f>IF(E47+I47&lt;=$K$60,(E47+I47)*J83-J47,IF(E47+I47&lt;=$K$61,(E47+I47)*J84-J47,IF(E47+I47&lt;=$K$62,(E47+I47)*L85-J47,513.0125)))</f>
        <v/>
      </c>
      <c r="L47" s="9" t="n"/>
      <c r="M47" s="17" t="n">
        <v>0</v>
      </c>
      <c r="N47" s="17" t="n">
        <v>99.19</v>
      </c>
      <c r="O47" s="17" t="n">
        <v>99.19</v>
      </c>
      <c r="P47" s="17" t="n">
        <v>99.19</v>
      </c>
      <c r="Q47" s="17" t="n">
        <v>0</v>
      </c>
      <c r="R47" s="17" t="n">
        <v>99.19</v>
      </c>
      <c r="S47" s="17" t="n">
        <v>45.08</v>
      </c>
      <c r="T47" s="17" t="n">
        <v>0</v>
      </c>
      <c r="U47" s="17" t="n">
        <v>78.90000000000001</v>
      </c>
      <c r="V47" s="17" t="n">
        <v>99.19</v>
      </c>
      <c r="W47" s="17" t="n">
        <v>99.19</v>
      </c>
      <c r="X47" s="17" t="n">
        <v>0</v>
      </c>
      <c r="Y47" s="17" t="n">
        <v>0</v>
      </c>
      <c r="Z47" s="17" t="n">
        <v>87.34</v>
      </c>
      <c r="AA47" s="17" t="n">
        <v>0</v>
      </c>
      <c r="AB47" s="49">
        <f>SUM(M47:AA47)</f>
        <v/>
      </c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</row>
    <row r="48" ht="21" customFormat="1" customHeight="1" s="98">
      <c r="A48" s="46" t="inlineStr">
        <is>
          <t>FRANCA</t>
        </is>
      </c>
      <c r="B48" s="15" t="inlineStr">
        <is>
          <t>CHAPA_24</t>
        </is>
      </c>
      <c r="C48" s="90">
        <f>AB48</f>
        <v/>
      </c>
      <c r="D48" s="90">
        <f>C48*0.1818</f>
        <v/>
      </c>
      <c r="E48" s="90">
        <f>SUM(C48:D48)</f>
        <v/>
      </c>
      <c r="F48" s="90">
        <f>E48*0.1111</f>
        <v/>
      </c>
      <c r="G48" s="90">
        <f>E48*0.083</f>
        <v/>
      </c>
      <c r="H48" s="90">
        <f>SUM(E48:G48)*0.08</f>
        <v/>
      </c>
      <c r="I48" s="88">
        <f>AB20</f>
        <v/>
      </c>
      <c r="J48" s="88">
        <f>IF(I20=0,0,VLOOKUP(B48,$B$6:$I$26,8,0))</f>
        <v/>
      </c>
      <c r="K48" s="89">
        <f>IF(E48+I48&lt;=$K$60,(E48+I48)*J84-J48,IF(E48+I48&lt;=$K$61,(E48+I48)*J85-J48,IF(E48+I48&lt;=$K$62,(E48+I48)*L86-J48,513.0125)))</f>
        <v/>
      </c>
      <c r="L48" s="9" t="n"/>
      <c r="M48" s="17" t="n">
        <v>0</v>
      </c>
      <c r="N48" s="17" t="n">
        <v>0</v>
      </c>
      <c r="O48" s="17" t="n">
        <v>99.19</v>
      </c>
      <c r="P48" s="17" t="n">
        <v>99.19</v>
      </c>
      <c r="Q48" s="17" t="n">
        <v>0</v>
      </c>
      <c r="R48" s="17" t="n">
        <v>99.19</v>
      </c>
      <c r="S48" s="17" t="n">
        <v>39.45</v>
      </c>
      <c r="T48" s="17" t="n">
        <v>0</v>
      </c>
      <c r="U48" s="102" t="n">
        <v>99.19</v>
      </c>
      <c r="V48" s="17" t="n">
        <v>0</v>
      </c>
      <c r="W48" s="17" t="n">
        <v>99.19</v>
      </c>
      <c r="X48" s="17" t="n">
        <v>99.19</v>
      </c>
      <c r="Y48" s="17" t="n">
        <v>0</v>
      </c>
      <c r="Z48" s="17" t="n">
        <v>45.08</v>
      </c>
      <c r="AA48" s="51" t="n"/>
      <c r="AB48" s="49">
        <f>SUM(M48:AA48)</f>
        <v/>
      </c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</row>
    <row r="49" ht="21" customFormat="1" customHeight="1" s="98">
      <c r="A49" s="46" t="inlineStr">
        <is>
          <t>FRANCA</t>
        </is>
      </c>
      <c r="B49" s="22" t="inlineStr">
        <is>
          <t>CHAPA_21</t>
        </is>
      </c>
      <c r="C49" s="90">
        <f>AB49</f>
        <v/>
      </c>
      <c r="D49" s="90">
        <f>C49*0.1818</f>
        <v/>
      </c>
      <c r="E49" s="90">
        <f>SUM(C49:D49)</f>
        <v/>
      </c>
      <c r="F49" s="90">
        <f>E49*0.1111</f>
        <v/>
      </c>
      <c r="G49" s="90">
        <f>E49*0.083</f>
        <v/>
      </c>
      <c r="H49" s="90">
        <f>SUM(E49:G49)*0.08</f>
        <v/>
      </c>
      <c r="I49" s="88">
        <f>AB21</f>
        <v/>
      </c>
      <c r="J49" s="88">
        <f>IF(I21=0,0,VLOOKUP(B49,$B$6:$I$26,8,0))</f>
        <v/>
      </c>
      <c r="K49" s="89">
        <f>IF(E49+I49&lt;=$K$60,(E49+I49)*J85-J49,IF(E49+I49&lt;=$K$61,(E49+I49)*J86-J49,IF(E49+I49&lt;=$K$62,(E49+I49)*L87-J49,513.0125)))</f>
        <v/>
      </c>
      <c r="L49" s="9" t="n"/>
      <c r="M49" s="17" t="n">
        <v>0</v>
      </c>
      <c r="N49" s="17" t="n">
        <v>0</v>
      </c>
      <c r="O49" s="17" t="n">
        <v>0</v>
      </c>
      <c r="P49" s="17" t="n">
        <v>99.19</v>
      </c>
      <c r="Q49" s="17" t="n">
        <v>0</v>
      </c>
      <c r="R49" s="17" t="n">
        <v>45.08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51" t="n"/>
      <c r="AB49" s="49">
        <f>SUM(M49:AA49)</f>
        <v/>
      </c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</row>
    <row r="50" ht="21" customFormat="1" customHeight="1" s="98">
      <c r="A50" s="46" t="inlineStr">
        <is>
          <t>FRANCA</t>
        </is>
      </c>
      <c r="B50" s="15" t="n"/>
      <c r="C50" s="90">
        <f>AB50</f>
        <v/>
      </c>
      <c r="D50" s="90">
        <f>C50*0.1818</f>
        <v/>
      </c>
      <c r="E50" s="90">
        <f>SUM(C50:D50)</f>
        <v/>
      </c>
      <c r="F50" s="90">
        <f>E50*0.1111</f>
        <v/>
      </c>
      <c r="G50" s="90">
        <f>E50*0.083</f>
        <v/>
      </c>
      <c r="H50" s="90">
        <f>SUM(E50:G50)*0.08</f>
        <v/>
      </c>
      <c r="I50" s="88">
        <f>AB22</f>
        <v/>
      </c>
      <c r="J50" s="88">
        <f>IF(I22=0,0,VLOOKUP(B50,$B$6:$I$26,8,0))</f>
        <v/>
      </c>
      <c r="K50" s="89">
        <f>IF(E50+I50&lt;=$K$60,(E50+I50)*J86-J50,IF(E50+I50&lt;=$K$61,(E50+I50)*J87-J50,IF(E50+I50&lt;=$K$62,(E50+I50)*L88-J50,513.0125)))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51" t="n"/>
      <c r="AB50" s="49">
        <f>SUM(M50:AA50)</f>
        <v/>
      </c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</row>
    <row r="51" ht="21" customFormat="1" customHeight="1" s="98">
      <c r="A51" s="46" t="inlineStr">
        <is>
          <t>FRANCA</t>
        </is>
      </c>
      <c r="B51" s="91" t="n"/>
      <c r="C51" s="90">
        <f>AB51</f>
        <v/>
      </c>
      <c r="D51" s="90">
        <f>C51*0.1818</f>
        <v/>
      </c>
      <c r="E51" s="90">
        <f>SUM(C51:D51)</f>
        <v/>
      </c>
      <c r="F51" s="90">
        <f>E51*0.1111</f>
        <v/>
      </c>
      <c r="G51" s="90">
        <f>E51*0.083</f>
        <v/>
      </c>
      <c r="H51" s="90">
        <f>SUM(E51:G51)*0.08</f>
        <v/>
      </c>
      <c r="I51" s="88">
        <f>AB23</f>
        <v/>
      </c>
      <c r="J51" s="88">
        <f>IF(I23=0,0,VLOOKUP(B51,$B$6:$I$26,8,0))</f>
        <v/>
      </c>
      <c r="K51" s="89">
        <f>IF(E51+I51&lt;=$K$60,(E51+I51)*J87-J51,IF(E51+I51&lt;=$K$61,(E51+I51)*J88-J51,IF(E51+I51&lt;=$K$62,(E51+I51)*L89-J51,513.0125)))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51" t="n"/>
      <c r="X51" s="51" t="n"/>
      <c r="Y51" s="51" t="n"/>
      <c r="Z51" s="51" t="n"/>
      <c r="AA51" s="51" t="n"/>
      <c r="AB51" s="49">
        <f>SUM(M51:AA51)</f>
        <v/>
      </c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</row>
    <row r="52" ht="21" customFormat="1" customHeight="1" s="98">
      <c r="A52" s="46" t="inlineStr">
        <is>
          <t>FRANCA</t>
        </is>
      </c>
      <c r="B52" s="15" t="n"/>
      <c r="C52" s="90">
        <f>AB52</f>
        <v/>
      </c>
      <c r="D52" s="90">
        <f>C52*0.1818</f>
        <v/>
      </c>
      <c r="E52" s="90">
        <f>SUM(C52:D52)</f>
        <v/>
      </c>
      <c r="F52" s="90">
        <f>E52*0.1111</f>
        <v/>
      </c>
      <c r="G52" s="90">
        <f>E52*0.083</f>
        <v/>
      </c>
      <c r="H52" s="90">
        <f>SUM(E52:G52)*0.08</f>
        <v/>
      </c>
      <c r="I52" s="88">
        <f>AB24</f>
        <v/>
      </c>
      <c r="J52" s="88">
        <f>IF(I24=0,0,VLOOKUP(B52,$B$6:$I$26,8,0))</f>
        <v/>
      </c>
      <c r="K52" s="89">
        <f>IF(E52+I52&lt;=$K$60,(E52+I52)*J88-J52,IF(E52+I52&lt;=$K$61,(E52+I52)*J89-J52,IF(E52+I52&lt;=$K$62,(E52+I52)*L90-J52,513.0125)))</f>
        <v/>
      </c>
      <c r="L52" s="9" t="n"/>
      <c r="M52" s="17" t="n"/>
      <c r="N52" s="17" t="n"/>
      <c r="O52" s="52" t="n"/>
      <c r="P52" s="17" t="n"/>
      <c r="Q52" s="52" t="n"/>
      <c r="R52" s="17" t="n"/>
      <c r="S52" s="17" t="n"/>
      <c r="T52" s="52" t="n"/>
      <c r="U52" s="51" t="n"/>
      <c r="V52" s="51" t="n"/>
      <c r="W52" s="51" t="n"/>
      <c r="X52" s="51" t="n"/>
      <c r="Y52" s="51" t="n"/>
      <c r="Z52" s="51" t="n"/>
      <c r="AA52" s="51" t="n"/>
      <c r="AB52" s="49">
        <f>SUM(M52:AA52)</f>
        <v/>
      </c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</row>
    <row r="53" ht="21" customFormat="1" customHeight="1" s="98">
      <c r="A53" s="46" t="inlineStr">
        <is>
          <t>FRANCA</t>
        </is>
      </c>
      <c r="B53" s="15" t="n"/>
      <c r="C53" s="90">
        <f>AB53</f>
        <v/>
      </c>
      <c r="D53" s="90">
        <f>C53*0.1818</f>
        <v/>
      </c>
      <c r="E53" s="90">
        <f>SUM(C53:D53)</f>
        <v/>
      </c>
      <c r="F53" s="90">
        <f>E53*0.1111</f>
        <v/>
      </c>
      <c r="G53" s="90">
        <f>E53*0.083</f>
        <v/>
      </c>
      <c r="H53" s="90">
        <f>SUM(E53:G53)*0.08</f>
        <v/>
      </c>
      <c r="I53" s="88">
        <f>AB25</f>
        <v/>
      </c>
      <c r="J53" s="88">
        <f>IF(I25=0,0,VLOOKUP(B53,$B$6:$I$26,8,0))</f>
        <v/>
      </c>
      <c r="K53" s="89">
        <f>IF(E53+I53&lt;=$K$60,(E53+I53)*J89-J53,IF(E53+I53&lt;=$K$61,(E53+I53)*J90-J53,IF(E53+I53&lt;=$K$62,(E53+I53)*L91-J53,513.0125)))</f>
        <v/>
      </c>
      <c r="L53" s="9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1" t="n"/>
      <c r="V53" s="51" t="n"/>
      <c r="W53" s="51" t="n"/>
      <c r="X53" s="51" t="n"/>
      <c r="Y53" s="51" t="n"/>
      <c r="Z53" s="51" t="n"/>
      <c r="AA53" s="51" t="n"/>
      <c r="AB53" s="49">
        <f>SUM(M53:AA53)</f>
        <v/>
      </c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</row>
    <row r="54" ht="21.6" customFormat="1" customHeight="1" s="98" thickBot="1">
      <c r="A54" s="46" t="inlineStr">
        <is>
          <t>FRANCA</t>
        </is>
      </c>
      <c r="B54" s="53" t="n"/>
      <c r="C54" s="92">
        <f>AB54</f>
        <v/>
      </c>
      <c r="D54" s="92">
        <f>C54*0.1818</f>
        <v/>
      </c>
      <c r="E54" s="92">
        <f>SUM(C54:D54)</f>
        <v/>
      </c>
      <c r="F54" s="92">
        <f>E54*0.1111</f>
        <v/>
      </c>
      <c r="G54" s="92">
        <f>E54*0.083</f>
        <v/>
      </c>
      <c r="H54" s="92">
        <f>SUM(E54:G54)*0.08</f>
        <v/>
      </c>
      <c r="I54" s="93">
        <f>AB26</f>
        <v/>
      </c>
      <c r="J54" s="93">
        <f>IF(I26=0,0,VLOOKUP(B54,$B$6:$I$26,8,0))</f>
        <v/>
      </c>
      <c r="K54" s="94">
        <f>IF(E54+I54&lt;=$K$60,(E54+I54)*J90-J54,IF(E54+I54&lt;=$K$61,(E54+I54)*J91-J54,IF(E54+I54&lt;=$K$62,(E54+I54)*L92-J54,513.0125)))</f>
        <v/>
      </c>
      <c r="L54" s="9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49">
        <f>SUM(M54:AA54)</f>
        <v/>
      </c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</row>
    <row r="55" ht="21" customFormat="1" customHeight="1" s="98" thickBo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28" t="n"/>
      <c r="N55" s="28" t="n">
        <v>29</v>
      </c>
      <c r="O55" s="28">
        <f>COUNT(#REF!)</f>
        <v/>
      </c>
      <c r="P55" s="28">
        <f>COUNT(#REF!)</f>
        <v/>
      </c>
      <c r="Q55" s="28">
        <f>COUNT(#REF!)</f>
        <v/>
      </c>
      <c r="R55" s="28" t="n"/>
      <c r="S55" s="28">
        <f>COUNT(#REF!)</f>
        <v/>
      </c>
      <c r="T55" s="28">
        <f>COUNT(#REF!)</f>
        <v/>
      </c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10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</row>
    <row r="56" ht="21" customFormat="1" customHeight="1" s="98">
      <c r="L56" s="10" t="n"/>
      <c r="M56" s="29" t="inlineStr">
        <is>
          <t>TOTAL GERAL / BOLETIM ENSACADORES:</t>
        </is>
      </c>
      <c r="N56" s="30" t="n"/>
      <c r="O56" s="30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2" t="inlineStr">
        <is>
          <t>TOTAL:</t>
        </is>
      </c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</row>
    <row r="57" ht="21" customFormat="1" customHeight="1" s="98">
      <c r="L57" s="10" t="n"/>
      <c r="M57" s="33">
        <f>SUM(M36:M54)</f>
        <v/>
      </c>
      <c r="N57" s="33">
        <f>SUM(N36:N54)</f>
        <v/>
      </c>
      <c r="O57" s="33">
        <f>SUM(O36:O53)</f>
        <v/>
      </c>
      <c r="P57" s="33">
        <f>SUM(P36:P54)</f>
        <v/>
      </c>
      <c r="Q57" s="33">
        <f>SUM(Q36:Q54)</f>
        <v/>
      </c>
      <c r="R57" s="33">
        <f>SUM(R36:R54)</f>
        <v/>
      </c>
      <c r="S57" s="33">
        <f>SUM(S36:S54)</f>
        <v/>
      </c>
      <c r="T57" s="33">
        <f>SUM(T36:T54)</f>
        <v/>
      </c>
      <c r="U57" s="33">
        <f>SUM(U36:U54)</f>
        <v/>
      </c>
      <c r="V57" s="33">
        <f>SUM(V36:V54)</f>
        <v/>
      </c>
      <c r="W57" s="33">
        <f>SUM(W36:W54)</f>
        <v/>
      </c>
      <c r="X57" s="33">
        <f>SUM(X36:X54)</f>
        <v/>
      </c>
      <c r="Y57" s="33">
        <f>SUM(Y36:Y54)</f>
        <v/>
      </c>
      <c r="Z57" s="33">
        <f>SUM(Z36:Z54)</f>
        <v/>
      </c>
      <c r="AA57" s="33">
        <f>SUM(AA36:AA54)</f>
        <v/>
      </c>
      <c r="AB57" s="34" t="n"/>
      <c r="AC57" s="35">
        <f>SUM(M57:AA57)</f>
        <v/>
      </c>
      <c r="AD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</row>
    <row r="58" ht="20.4" customFormat="1" customHeight="1" s="98">
      <c r="L58" s="10" t="n"/>
      <c r="AD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</row>
    <row r="59" ht="21" customFormat="1" customHeight="1" s="98" thickBot="1">
      <c r="L59" s="10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</row>
    <row r="60" ht="21.6" customFormat="1" customHeight="1" s="98" thickBot="1">
      <c r="A60" s="64" t="inlineStr">
        <is>
          <t>MÉDIA DIARIA CHAPAS</t>
        </is>
      </c>
      <c r="B60" s="108" t="n"/>
      <c r="C60" s="37" t="n">
        <v>11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</row>
    <row r="61" ht="20.4" customFormat="1" customHeight="1" s="98"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</row>
    <row r="62" ht="21" customFormat="1" customHeight="1" s="98">
      <c r="A62" s="95" t="n"/>
      <c r="B62" s="10" t="n"/>
      <c r="C62" s="5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</row>
    <row r="63" ht="25.8" customFormat="1" customHeight="1" s="98">
      <c r="A63" s="96" t="n"/>
      <c r="B63" s="97" t="n"/>
      <c r="C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</row>
    <row r="64" ht="21" customFormat="1" customHeight="1" s="98">
      <c r="A64" s="20" t="n"/>
      <c r="B64" s="20" t="n"/>
      <c r="C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</row>
    <row r="65" ht="21" customFormat="1" customHeight="1" s="98">
      <c r="A65" s="20" t="n"/>
      <c r="B65" s="20" t="n"/>
      <c r="C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</row>
    <row r="66" ht="21" customFormat="1" customHeight="1" s="98">
      <c r="A66" s="20" t="n"/>
      <c r="B66" s="20" t="n"/>
      <c r="C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</row>
    <row r="67" ht="21" customFormat="1" customHeight="1" s="98">
      <c r="A67" s="20" t="n"/>
      <c r="B67" s="20" t="n"/>
      <c r="C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</row>
    <row r="68" ht="21" customFormat="1" customHeight="1" s="98">
      <c r="A68" s="20" t="n"/>
      <c r="B68" s="20" t="n"/>
      <c r="C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</row>
    <row r="69" ht="21" customFormat="1" customHeight="1" s="98">
      <c r="A69" s="20" t="n"/>
      <c r="B69" s="20" t="n"/>
      <c r="C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</row>
    <row r="70" ht="21" customFormat="1" customHeight="1" s="98">
      <c r="A70" s="20" t="n"/>
      <c r="B70" s="20" t="n"/>
      <c r="C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</row>
    <row r="71" ht="21" customFormat="1" customHeight="1" s="98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</row>
    <row r="72" customFormat="1" s="98"/>
    <row r="73" customFormat="1" s="98"/>
    <row r="74" customFormat="1" s="98"/>
    <row r="75" customFormat="1" s="98"/>
    <row r="76" customFormat="1" s="98"/>
    <row r="77" customFormat="1" s="98"/>
    <row r="78" customFormat="1" s="98"/>
    <row r="79" customFormat="1" s="98"/>
    <row r="80" customFormat="1" s="98"/>
    <row r="81" customFormat="1" s="98"/>
    <row r="82" customFormat="1" s="98"/>
    <row r="83" customFormat="1" s="98"/>
    <row r="84" customFormat="1" s="98"/>
    <row r="85" customFormat="1" s="98"/>
    <row r="86" customFormat="1" s="98"/>
    <row r="87" customFormat="1" s="98"/>
    <row r="88" customFormat="1" s="98"/>
    <row r="89" customFormat="1" s="98"/>
    <row r="90" customFormat="1" s="98"/>
    <row r="91" customFormat="1" s="98"/>
    <row r="92" customFormat="1" s="98"/>
    <row r="93" customFormat="1" s="98"/>
    <row r="94" customFormat="1" s="98"/>
    <row r="95" customFormat="1" s="98"/>
    <row r="96" customFormat="1" s="98"/>
    <row r="97" customFormat="1" s="98"/>
    <row r="98" customFormat="1" s="98"/>
    <row r="99" customFormat="1" s="98"/>
    <row r="100" customFormat="1" s="98"/>
    <row r="101" customFormat="1" s="98"/>
    <row r="102" customFormat="1" s="98"/>
    <row r="103" customFormat="1" s="98"/>
    <row r="104" customFormat="1" s="98"/>
    <row r="105" customFormat="1" s="98"/>
    <row r="106" customFormat="1" s="98"/>
    <row r="107" customFormat="1" s="98"/>
    <row r="108" customFormat="1" s="98"/>
    <row r="109" customFormat="1" s="98"/>
    <row r="110" customFormat="1" s="98"/>
    <row r="111" customFormat="1" s="98"/>
    <row r="112" customFormat="1" s="98"/>
    <row r="113" customFormat="1" s="98"/>
    <row r="114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98" t="n"/>
      <c r="L114" s="98" t="n"/>
      <c r="AC114" s="98" t="n"/>
      <c r="AD114" s="98" t="n"/>
      <c r="AE114" s="98" t="n"/>
      <c r="AF114" s="98" t="n"/>
      <c r="AG114" s="98" t="n"/>
    </row>
  </sheetData>
  <mergeCells count="8">
    <mergeCell ref="A34:K34"/>
    <mergeCell ref="A60:B60"/>
    <mergeCell ref="A2:H2"/>
    <mergeCell ref="M34:AC34"/>
    <mergeCell ref="M4:AB4"/>
    <mergeCell ref="A3:I3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62"/>
  <sheetViews>
    <sheetView tabSelected="1" topLeftCell="A16" zoomScale="55" zoomScaleNormal="55" workbookViewId="0">
      <selection activeCell="J62" sqref="J62"/>
    </sheetView>
  </sheetViews>
  <sheetFormatPr baseColWidth="8" defaultRowHeight="14.4"/>
  <cols>
    <col width="36.33203125" bestFit="1" customWidth="1" min="1" max="1"/>
    <col width="59.109375" bestFit="1" customWidth="1" min="2" max="2"/>
    <col width="14" bestFit="1" customWidth="1" min="3" max="3"/>
    <col width="11.33203125" bestFit="1" customWidth="1" min="4" max="4"/>
    <col width="14" bestFit="1" customWidth="1" min="5" max="5"/>
    <col width="12.33203125" bestFit="1" customWidth="1" min="6" max="6"/>
    <col width="20.33203125" bestFit="1" customWidth="1" min="7" max="7"/>
    <col width="11.33203125" bestFit="1" customWidth="1" min="8" max="8"/>
    <col width="13" bestFit="1" customWidth="1" min="9" max="9"/>
    <col width="10.44140625" bestFit="1" customWidth="1" min="10" max="11"/>
    <col width="66.21875" bestFit="1" customWidth="1" min="13" max="13"/>
    <col width="14" bestFit="1" customWidth="1" min="14" max="16"/>
    <col width="11.33203125" bestFit="1" customWidth="1" min="17" max="17"/>
    <col width="14" bestFit="1" customWidth="1" min="18" max="18"/>
    <col width="11.33203125" bestFit="1" customWidth="1" min="19" max="19"/>
    <col width="10.88671875" bestFit="1" customWidth="1" min="20" max="20"/>
    <col width="14" bestFit="1" customWidth="1" min="21" max="24"/>
    <col width="11.33203125" bestFit="1" customWidth="1" min="25" max="26"/>
    <col width="10.88671875" bestFit="1" customWidth="1" min="27" max="27"/>
    <col width="12.109375" bestFit="1" customWidth="1" min="28" max="28"/>
    <col width="15.6640625" bestFit="1" customWidth="1" min="29" max="29"/>
  </cols>
  <sheetData>
    <row r="1" ht="17.4" customHeight="1">
      <c r="A1" s="67" t="inlineStr">
        <is>
          <t xml:space="preserve">                                           COOPERATIVA DE CAFEICULTORES E AGROPECUARISTAS</t>
        </is>
      </c>
      <c r="B1" s="104" t="n"/>
      <c r="C1" s="104" t="n"/>
      <c r="D1" s="104" t="n"/>
      <c r="E1" s="104" t="n"/>
      <c r="F1" s="104" t="n"/>
      <c r="G1" s="104" t="n"/>
      <c r="H1" s="104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 thickBot="1">
      <c r="A2" s="69" t="inlineStr">
        <is>
          <t xml:space="preserve">                                                    CALCULOS ENSACADORES -  BOLETIM DIARIO</t>
        </is>
      </c>
      <c r="B2" s="105" t="n"/>
      <c r="C2" s="105" t="n"/>
      <c r="D2" s="105" t="n"/>
      <c r="E2" s="105" t="n"/>
      <c r="F2" s="105" t="n"/>
      <c r="G2" s="105" t="n"/>
      <c r="H2" s="105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1.6" customHeight="1" thickBot="1">
      <c r="A3" s="106" t="inlineStr">
        <is>
          <t>COCAPEC - INSUMOS MATRIZ/DIARISTA</t>
        </is>
      </c>
      <c r="B3" s="107" t="n"/>
      <c r="C3" s="107" t="n"/>
      <c r="D3" s="107" t="n"/>
      <c r="E3" s="107" t="n"/>
      <c r="F3" s="107" t="n"/>
      <c r="G3" s="107" t="n"/>
      <c r="H3" s="107" t="n"/>
      <c r="I3" s="108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2" t="n"/>
      <c r="AE3" s="2" t="n"/>
    </row>
    <row r="4" ht="21.6" customHeight="1" thickBot="1">
      <c r="A4" s="109" t="inlineStr">
        <is>
          <t>1ª QUINZENA</t>
        </is>
      </c>
      <c r="B4" s="104" t="n"/>
      <c r="C4" s="104" t="n"/>
      <c r="D4" s="104" t="n"/>
      <c r="E4" s="104" t="n"/>
      <c r="F4" s="104" t="n"/>
      <c r="G4" s="104" t="n"/>
      <c r="H4" s="104" t="n"/>
      <c r="I4" s="110" t="n"/>
      <c r="J4" s="4" t="n"/>
      <c r="K4" s="4" t="n"/>
      <c r="L4" s="4" t="n"/>
      <c r="M4" s="111" t="inlineStr">
        <is>
          <t>total</t>
        </is>
      </c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8" t="n"/>
      <c r="AC4" s="5" t="n"/>
      <c r="AD4" s="2" t="n"/>
      <c r="AE4" s="2" t="n"/>
    </row>
    <row r="5" ht="21" customHeight="1">
      <c r="A5" s="6" t="inlineStr">
        <is>
          <t>LOCAL</t>
        </is>
      </c>
      <c r="B5" s="7" t="inlineStr">
        <is>
          <t>NOME</t>
        </is>
      </c>
      <c r="C5" s="7" t="inlineStr">
        <is>
          <t>DIÁRIA</t>
        </is>
      </c>
      <c r="D5" s="7" t="inlineStr">
        <is>
          <t>DSR</t>
        </is>
      </c>
      <c r="E5" s="7" t="inlineStr">
        <is>
          <t>TOTAL</t>
        </is>
      </c>
      <c r="F5" s="7" t="inlineStr">
        <is>
          <t>FÉRIAS</t>
        </is>
      </c>
      <c r="G5" s="7" t="inlineStr">
        <is>
          <t>13º SALÁRIO</t>
        </is>
      </c>
      <c r="H5" s="7" t="inlineStr">
        <is>
          <t>FGTS</t>
        </is>
      </c>
      <c r="I5" s="8" t="inlineStr">
        <is>
          <t>INSS</t>
        </is>
      </c>
      <c r="J5" s="9" t="n"/>
      <c r="K5" s="10" t="n"/>
      <c r="L5" s="10" t="n"/>
      <c r="M5" s="11" t="n">
        <v>45962</v>
      </c>
      <c r="N5" s="11" t="n">
        <v>45964</v>
      </c>
      <c r="O5" s="11" t="n">
        <v>45965</v>
      </c>
      <c r="P5" s="11" t="n">
        <v>45966</v>
      </c>
      <c r="Q5" s="11" t="n">
        <v>45967</v>
      </c>
      <c r="R5" s="11" t="n">
        <v>45968</v>
      </c>
      <c r="S5" s="11" t="n">
        <v>45969</v>
      </c>
      <c r="T5" s="11" t="inlineStr">
        <is>
          <t>DOM</t>
        </is>
      </c>
      <c r="U5" s="11" t="n">
        <v>45971</v>
      </c>
      <c r="V5" s="11" t="n">
        <v>45972</v>
      </c>
      <c r="W5" s="11" t="n">
        <v>45973</v>
      </c>
      <c r="X5" s="11" t="n">
        <v>45974</v>
      </c>
      <c r="Y5" s="11" t="n">
        <v>45975</v>
      </c>
      <c r="Z5" s="11" t="n">
        <v>45976</v>
      </c>
      <c r="AA5" s="11" t="n"/>
      <c r="AB5" s="12" t="inlineStr">
        <is>
          <t>TOTAL</t>
        </is>
      </c>
      <c r="AC5" s="13" t="n"/>
      <c r="AD5" s="13" t="n"/>
      <c r="AE5" s="13" t="n"/>
    </row>
    <row r="6" ht="21" customHeight="1">
      <c r="A6" s="14" t="inlineStr">
        <is>
          <t>FRANCA</t>
        </is>
      </c>
      <c r="B6" s="22" t="inlineStr">
        <is>
          <t>CHAPA_08</t>
        </is>
      </c>
      <c r="C6" s="10">
        <f>AB6</f>
        <v/>
      </c>
      <c r="D6" s="10">
        <f>C6*0.1818</f>
        <v/>
      </c>
      <c r="E6" s="10">
        <f>SUM(C6:D6)</f>
        <v/>
      </c>
      <c r="F6" s="10">
        <f>E6*0.1111</f>
        <v/>
      </c>
      <c r="G6" s="10">
        <f>E6*0.083</f>
        <v/>
      </c>
      <c r="H6" s="10">
        <f>SUM(E6:G6)*0.08</f>
        <v/>
      </c>
      <c r="I6" s="16">
        <f>IF(E6&lt;=$F$67,E6*$G$67,IF(E6&lt;=$F$68,E6*$G$68,IF(E6&lt;=$F$69,E6*$G$69,513.0125)))</f>
        <v/>
      </c>
      <c r="J6" s="9" t="n"/>
      <c r="K6" s="10" t="n"/>
      <c r="L6" s="10" t="n"/>
      <c r="M6" s="17" t="n">
        <v>45.08</v>
      </c>
      <c r="N6" s="17" t="n">
        <v>99.2</v>
      </c>
      <c r="O6" s="17" t="n">
        <v>132.55</v>
      </c>
      <c r="P6" s="17" t="n">
        <v>99.19</v>
      </c>
      <c r="Q6" s="17" t="n">
        <v>99.19</v>
      </c>
      <c r="R6" s="17" t="n">
        <v>187.66</v>
      </c>
      <c r="S6" s="17" t="n">
        <v>0</v>
      </c>
      <c r="T6" s="17" t="n">
        <v>0</v>
      </c>
      <c r="U6" s="17" t="n">
        <v>0</v>
      </c>
      <c r="V6" s="17" t="n">
        <v>168.88</v>
      </c>
      <c r="W6" s="17" t="n">
        <v>149.76</v>
      </c>
      <c r="X6" s="17" t="n">
        <v>108.06</v>
      </c>
      <c r="Y6" s="17" t="n">
        <v>0</v>
      </c>
      <c r="Z6" s="17" t="n">
        <v>0</v>
      </c>
      <c r="AA6" s="17" t="n"/>
      <c r="AB6" s="18">
        <f>SUM(M6:AA6)</f>
        <v/>
      </c>
      <c r="AC6" s="13" t="n"/>
      <c r="AD6" s="13" t="n"/>
      <c r="AE6" s="13" t="n"/>
    </row>
    <row r="7" ht="21" customHeight="1">
      <c r="A7" s="14" t="inlineStr">
        <is>
          <t>FRANCA</t>
        </is>
      </c>
      <c r="B7" s="22" t="inlineStr">
        <is>
          <t>CHAPA_09</t>
        </is>
      </c>
      <c r="C7" s="10">
        <f>AB7</f>
        <v/>
      </c>
      <c r="D7" s="10">
        <f>C7*0.1818</f>
        <v/>
      </c>
      <c r="E7" s="10">
        <f>SUM(C7:D7)</f>
        <v/>
      </c>
      <c r="F7" s="10">
        <f>E7*0.1111</f>
        <v/>
      </c>
      <c r="G7" s="10">
        <f>E7*0.083</f>
        <v/>
      </c>
      <c r="H7" s="10">
        <f>SUM(E7:G7)*0.08</f>
        <v/>
      </c>
      <c r="I7" s="10">
        <f>IF(E7&lt;=$F$67,E7*$G$67,IF(E7&lt;=$F$68,E7*$G$68,IF(E7&lt;=$F$69,E7*$G$69,513.0125)))</f>
        <v/>
      </c>
      <c r="J7" s="9" t="n"/>
      <c r="K7" s="20" t="n"/>
      <c r="L7" s="10" t="n"/>
      <c r="M7" s="17" t="n">
        <v>45.09</v>
      </c>
      <c r="N7" s="17" t="n">
        <v>99.2</v>
      </c>
      <c r="O7" s="17" t="n">
        <v>132.55</v>
      </c>
      <c r="P7" s="17" t="n">
        <v>99.19</v>
      </c>
      <c r="Q7" s="17" t="n">
        <v>99.19</v>
      </c>
      <c r="R7" s="17" t="n">
        <v>187.66</v>
      </c>
      <c r="S7" s="17" t="n">
        <v>45.09</v>
      </c>
      <c r="T7" s="17" t="n">
        <v>0</v>
      </c>
      <c r="U7" s="17" t="n">
        <v>171.79</v>
      </c>
      <c r="V7" s="17" t="n">
        <v>71.65000000000001</v>
      </c>
      <c r="W7" s="17" t="n">
        <v>149.76</v>
      </c>
      <c r="X7" s="17" t="n">
        <v>124.96</v>
      </c>
      <c r="Y7" s="17" t="n">
        <v>99.19</v>
      </c>
      <c r="Z7" s="17" t="n">
        <v>0</v>
      </c>
      <c r="AA7" s="17" t="n"/>
      <c r="AB7" s="18">
        <f>SUM(M7:AA7)</f>
        <v/>
      </c>
      <c r="AC7" s="13" t="n"/>
      <c r="AD7" s="13" t="n"/>
      <c r="AE7" s="13" t="n"/>
    </row>
    <row r="8" ht="21" customHeight="1">
      <c r="A8" s="14" t="inlineStr">
        <is>
          <t>FRANCA</t>
        </is>
      </c>
      <c r="B8" s="22" t="inlineStr">
        <is>
          <t>CHAPA_15</t>
        </is>
      </c>
      <c r="C8" s="10">
        <f>AB8</f>
        <v/>
      </c>
      <c r="D8" s="10">
        <f>C8*0.1818</f>
        <v/>
      </c>
      <c r="E8" s="10">
        <f>SUM(C8:D8)</f>
        <v/>
      </c>
      <c r="F8" s="10">
        <f>E8*0.1111</f>
        <v/>
      </c>
      <c r="G8" s="10">
        <f>E8*0.083</f>
        <v/>
      </c>
      <c r="H8" s="10">
        <f>SUM(E8:G8)*0.08</f>
        <v/>
      </c>
      <c r="I8" s="10">
        <f>IF(E8&lt;=$F$67,E8*$G$67,IF(E8&lt;=$F$68,E8*$G$68,IF(E8&lt;=$F$69,E8*$G$69,513.0125)))</f>
        <v/>
      </c>
      <c r="J8" s="9" t="n"/>
      <c r="K8" s="10" t="n"/>
      <c r="L8" s="10" t="n"/>
      <c r="M8" s="17" t="n">
        <v>0</v>
      </c>
      <c r="N8" s="17" t="n">
        <v>99.2</v>
      </c>
      <c r="O8" s="17" t="n">
        <v>132.55</v>
      </c>
      <c r="P8" s="17" t="n">
        <v>99.19</v>
      </c>
      <c r="Q8" s="17" t="n">
        <v>67.63</v>
      </c>
      <c r="R8" s="17" t="n">
        <v>45.08</v>
      </c>
      <c r="S8" s="17" t="n">
        <v>45.09</v>
      </c>
      <c r="T8" s="17" t="n">
        <v>0</v>
      </c>
      <c r="U8" s="17" t="n">
        <v>154.88</v>
      </c>
      <c r="V8" s="17" t="n">
        <v>168.88</v>
      </c>
      <c r="W8" s="17" t="n">
        <v>149.76</v>
      </c>
      <c r="X8" s="17" t="n">
        <v>108.06</v>
      </c>
      <c r="Y8" s="17" t="n">
        <v>107.65</v>
      </c>
      <c r="Z8" s="17" t="n">
        <v>0</v>
      </c>
      <c r="AA8" s="17" t="n"/>
      <c r="AB8" s="18">
        <f>SUM(M8:AA8)</f>
        <v/>
      </c>
      <c r="AC8" s="13" t="n"/>
      <c r="AD8" s="13" t="n"/>
      <c r="AE8" s="13" t="n"/>
    </row>
    <row r="9" ht="21" customHeight="1">
      <c r="A9" s="14" t="inlineStr">
        <is>
          <t>FRANCA</t>
        </is>
      </c>
      <c r="B9" s="22" t="inlineStr">
        <is>
          <t>CHAPA_17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9" t="n"/>
      <c r="K9" s="10" t="n"/>
      <c r="L9" s="10" t="n"/>
      <c r="M9" s="17" t="n">
        <v>45.09</v>
      </c>
      <c r="N9" s="17" t="n">
        <v>99.19</v>
      </c>
      <c r="O9" s="17" t="n">
        <v>45.08</v>
      </c>
      <c r="P9" s="17" t="n">
        <v>99.19</v>
      </c>
      <c r="Q9" s="17" t="n">
        <v>99.19</v>
      </c>
      <c r="R9" s="17" t="n">
        <v>187.66</v>
      </c>
      <c r="S9" s="17" t="n">
        <v>45.09</v>
      </c>
      <c r="T9" s="17" t="n">
        <v>0</v>
      </c>
      <c r="U9" s="17" t="n">
        <v>171.79</v>
      </c>
      <c r="V9" s="17" t="n">
        <v>168.88</v>
      </c>
      <c r="W9" s="17" t="n">
        <v>149.75</v>
      </c>
      <c r="X9" s="17" t="n">
        <v>124.96</v>
      </c>
      <c r="Y9" s="17" t="n">
        <v>107.65</v>
      </c>
      <c r="Z9" s="17" t="n">
        <v>0</v>
      </c>
      <c r="AA9" s="17" t="n"/>
      <c r="AB9" s="18" t="n"/>
      <c r="AC9" s="13" t="n"/>
      <c r="AD9" s="13" t="n"/>
      <c r="AE9" s="13" t="n"/>
    </row>
    <row r="10" ht="21" customHeight="1">
      <c r="A10" s="14" t="inlineStr">
        <is>
          <t>FRANCA</t>
        </is>
      </c>
      <c r="B10" s="15" t="inlineStr">
        <is>
          <t>CHAPA_31</t>
        </is>
      </c>
      <c r="C10" s="10">
        <f>AB10</f>
        <v/>
      </c>
      <c r="D10" s="10">
        <f>C10*0.1818</f>
        <v/>
      </c>
      <c r="E10" s="10">
        <f>SUM(C10:D10)</f>
        <v/>
      </c>
      <c r="F10" s="10">
        <f>E10*0.1111</f>
        <v/>
      </c>
      <c r="G10" s="10">
        <f>E10*0.083</f>
        <v/>
      </c>
      <c r="H10" s="10">
        <f>SUM(E10:G10)*0.08</f>
        <v/>
      </c>
      <c r="I10" s="10">
        <f>IF(E10&lt;=$F$67,E10*$G$67,IF(E10&lt;=$F$68,E10*$G$68,IF(E10&lt;=$F$69,E10*$G$69,513.0125)))</f>
        <v/>
      </c>
      <c r="J10" s="9" t="n"/>
      <c r="K10" s="10" t="n"/>
      <c r="L10" s="10" t="n"/>
      <c r="M10" s="17" t="n">
        <v>45.09</v>
      </c>
      <c r="N10" s="17" t="n">
        <v>99.19</v>
      </c>
      <c r="O10" s="17" t="n">
        <v>0</v>
      </c>
      <c r="P10" s="17" t="n">
        <v>99.19</v>
      </c>
      <c r="Q10" s="17" t="n">
        <v>45.08</v>
      </c>
      <c r="R10" s="17" t="n">
        <v>166.93</v>
      </c>
      <c r="S10" s="17" t="n">
        <v>0</v>
      </c>
      <c r="T10" s="17" t="n">
        <v>0</v>
      </c>
      <c r="U10" s="17" t="n">
        <v>154.88</v>
      </c>
      <c r="V10" s="17" t="n">
        <v>168.88</v>
      </c>
      <c r="W10" s="17" t="n">
        <v>141.3</v>
      </c>
      <c r="X10" s="17" t="n">
        <v>108.06</v>
      </c>
      <c r="Y10" s="17" t="n">
        <v>99.18000000000001</v>
      </c>
      <c r="Z10" s="17" t="n">
        <v>0</v>
      </c>
      <c r="AA10" s="17" t="n"/>
      <c r="AB10" s="18">
        <f>SUM(M10:AA10)</f>
        <v/>
      </c>
      <c r="AC10" s="13" t="n"/>
      <c r="AD10" s="13" t="n"/>
      <c r="AE10" s="13" t="n"/>
    </row>
    <row r="11" ht="21" customHeight="1">
      <c r="A11" s="14" t="inlineStr">
        <is>
          <t>FRANCA</t>
        </is>
      </c>
      <c r="B11" s="22" t="inlineStr">
        <is>
          <t>CHAPA_38</t>
        </is>
      </c>
      <c r="C11" s="10">
        <f>AB11</f>
        <v/>
      </c>
      <c r="D11" s="10">
        <f>C11*0.1818</f>
        <v/>
      </c>
      <c r="E11" s="10">
        <f>SUM(C11:D11)</f>
        <v/>
      </c>
      <c r="F11" s="10">
        <f>E11*0.1111</f>
        <v/>
      </c>
      <c r="G11" s="10">
        <f>E11*0.083</f>
        <v/>
      </c>
      <c r="H11" s="10">
        <f>SUM(E11:G11)*0.08</f>
        <v/>
      </c>
      <c r="I11" s="10">
        <f>IF(E11&lt;=$F$67,E11*$G$67,IF(E11&lt;=$F$68,E11*$G$68,IF(E11&lt;=$F$69,E11*$G$69,513.0125)))</f>
        <v/>
      </c>
      <c r="J11" s="9" t="n"/>
      <c r="K11" s="10" t="n"/>
      <c r="L11" s="10" t="n"/>
      <c r="M11" s="17" t="n">
        <v>45.09</v>
      </c>
      <c r="N11" s="17" t="n">
        <v>99.19</v>
      </c>
      <c r="O11" s="17" t="n">
        <v>132.56</v>
      </c>
      <c r="P11" s="17" t="n">
        <v>116.09</v>
      </c>
      <c r="Q11" s="17" t="n">
        <v>99.2</v>
      </c>
      <c r="R11" s="17" t="n">
        <v>204.56</v>
      </c>
      <c r="S11" s="17" t="n">
        <v>45.09</v>
      </c>
      <c r="T11" s="17" t="n">
        <v>0</v>
      </c>
      <c r="U11" s="17" t="n">
        <v>171.79</v>
      </c>
      <c r="V11" s="17" t="n">
        <v>168.88</v>
      </c>
      <c r="W11" s="17" t="n">
        <v>149.75</v>
      </c>
      <c r="X11" s="17" t="n">
        <v>108.06</v>
      </c>
      <c r="Y11" s="17" t="n">
        <v>107.65</v>
      </c>
      <c r="Z11" s="17" t="n">
        <v>0</v>
      </c>
      <c r="AA11" s="17" t="n"/>
      <c r="AB11" s="18">
        <f>SUM(M11:AA11)</f>
        <v/>
      </c>
      <c r="AC11" s="13" t="n"/>
      <c r="AD11" s="13" t="n"/>
      <c r="AE11" s="13" t="n"/>
    </row>
    <row r="12" ht="21" customHeight="1">
      <c r="A12" s="14" t="inlineStr">
        <is>
          <t>FRANCA</t>
        </is>
      </c>
      <c r="B12" s="22" t="inlineStr">
        <is>
          <t>CHAPA_41</t>
        </is>
      </c>
      <c r="C12" s="10">
        <f>AB12</f>
        <v/>
      </c>
      <c r="D12" s="10">
        <f>C12*0.1818</f>
        <v/>
      </c>
      <c r="E12" s="10">
        <f>SUM(C12:D12)</f>
        <v/>
      </c>
      <c r="F12" s="10">
        <f>E12*0.1111</f>
        <v/>
      </c>
      <c r="G12" s="10">
        <f>E12*0.083</f>
        <v/>
      </c>
      <c r="H12" s="10">
        <f>SUM(E12:G12)*0.08</f>
        <v/>
      </c>
      <c r="I12" s="16">
        <f>IF(E12&lt;=$F$67,E12*$G$67,IF(E12&lt;=$F$68,E12*$G$68,IF(E12&lt;=$F$69,E12*$G$69,513.0125)))</f>
        <v/>
      </c>
      <c r="J12" s="9" t="n"/>
      <c r="K12" s="10" t="n"/>
      <c r="L12" s="10" t="n"/>
      <c r="M12" s="17" t="n">
        <v>45.09</v>
      </c>
      <c r="N12" s="17" t="n">
        <v>99.19</v>
      </c>
      <c r="O12" s="17" t="n">
        <v>132.56</v>
      </c>
      <c r="P12" s="17" t="n">
        <v>99.2</v>
      </c>
      <c r="Q12" s="17" t="n">
        <v>99.2</v>
      </c>
      <c r="R12" s="17" t="n">
        <v>187.66</v>
      </c>
      <c r="S12" s="17" t="n">
        <v>0</v>
      </c>
      <c r="T12" s="17" t="n">
        <v>0</v>
      </c>
      <c r="U12" s="17" t="n">
        <v>171.79</v>
      </c>
      <c r="V12" s="17" t="n">
        <v>168.88</v>
      </c>
      <c r="W12" s="17" t="n">
        <v>141.3</v>
      </c>
      <c r="X12" s="17" t="n">
        <v>108.06</v>
      </c>
      <c r="Y12" s="17" t="n">
        <v>99.19</v>
      </c>
      <c r="Z12" s="17" t="n">
        <v>0</v>
      </c>
      <c r="AA12" s="17" t="n"/>
      <c r="AB12" s="18">
        <f>SUM(M12:AA12)</f>
        <v/>
      </c>
      <c r="AC12" s="13" t="n"/>
      <c r="AD12" s="13" t="n"/>
      <c r="AE12" s="13" t="n"/>
    </row>
    <row r="13" ht="21" customHeight="1">
      <c r="A13" s="14" t="inlineStr">
        <is>
          <t>FRANCA</t>
        </is>
      </c>
      <c r="B13" s="22" t="inlineStr">
        <is>
          <t>CHAPA_42</t>
        </is>
      </c>
      <c r="C13" s="10">
        <f>AB13</f>
        <v/>
      </c>
      <c r="D13" s="10">
        <f>C13*0.1818</f>
        <v/>
      </c>
      <c r="E13" s="10">
        <f>SUM(C13:D13)</f>
        <v/>
      </c>
      <c r="F13" s="10">
        <f>E13*0.1111</f>
        <v/>
      </c>
      <c r="G13" s="10">
        <f>E13*0.083</f>
        <v/>
      </c>
      <c r="H13" s="10">
        <f>SUM(E13:G13)*0.08</f>
        <v/>
      </c>
      <c r="I13" s="16">
        <f>IF(E13&lt;=$F$67,E13*$G$67,IF(E13&lt;=$F$68,E13*$G$68,IF(E13&lt;=$F$69,E13*$G$69,513.0125)))</f>
        <v/>
      </c>
      <c r="J13" s="9" t="n"/>
      <c r="K13" s="10" t="n"/>
      <c r="L13" s="10" t="n"/>
      <c r="M13" s="17" t="n">
        <v>0</v>
      </c>
      <c r="N13" s="17" t="n">
        <v>99.19</v>
      </c>
      <c r="O13" s="17" t="n">
        <v>132.55</v>
      </c>
      <c r="P13" s="17" t="n">
        <v>99.2</v>
      </c>
      <c r="Q13" s="17" t="n">
        <v>99.2</v>
      </c>
      <c r="R13" s="17" t="n">
        <v>166.93</v>
      </c>
      <c r="S13" s="17" t="n">
        <v>0</v>
      </c>
      <c r="T13" s="17" t="n">
        <v>0</v>
      </c>
      <c r="U13" s="17" t="n">
        <v>171.79</v>
      </c>
      <c r="V13" s="17" t="n">
        <v>0</v>
      </c>
      <c r="W13" s="17" t="n">
        <v>149.75</v>
      </c>
      <c r="X13" s="17" t="n">
        <v>108.06</v>
      </c>
      <c r="Y13" s="17" t="n">
        <v>99.19</v>
      </c>
      <c r="Z13" s="17" t="n">
        <v>0</v>
      </c>
      <c r="AA13" s="17" t="n"/>
      <c r="AB13" s="18">
        <f>SUM(M13:AA13)</f>
        <v/>
      </c>
      <c r="AC13" s="13" t="n"/>
      <c r="AD13" s="13" t="n"/>
      <c r="AE13" s="13" t="n"/>
    </row>
    <row r="14" ht="21" customHeight="1">
      <c r="A14" s="14" t="inlineStr">
        <is>
          <t>FRANCA</t>
        </is>
      </c>
      <c r="B14" s="22" t="inlineStr">
        <is>
          <t>CHAPA_43</t>
        </is>
      </c>
      <c r="C14" s="10">
        <f>AB14</f>
        <v/>
      </c>
      <c r="D14" s="10">
        <f>C14*0.1818</f>
        <v/>
      </c>
      <c r="E14" s="10">
        <f>SUM(C14:D14)</f>
        <v/>
      </c>
      <c r="F14" s="10">
        <f>E14*0.1111</f>
        <v/>
      </c>
      <c r="G14" s="10">
        <f>E14*0.083</f>
        <v/>
      </c>
      <c r="H14" s="10">
        <f>SUM(E14:G14)*0.08</f>
        <v/>
      </c>
      <c r="I14" s="16">
        <f>IF(E14&lt;=$F$67,E14*$G$67,IF(E14&lt;=$F$68,E14*$G$68,IF(E14&lt;=$F$69,E14*$G$69,513.0125)))</f>
        <v/>
      </c>
      <c r="J14" s="9" t="n"/>
      <c r="K14" s="10" t="n"/>
      <c r="L14" s="10" t="n"/>
      <c r="M14" s="17" t="n">
        <v>45.08</v>
      </c>
      <c r="N14" s="17" t="n">
        <v>99.19</v>
      </c>
      <c r="O14" s="17" t="n">
        <v>132.55</v>
      </c>
      <c r="P14" s="17" t="n">
        <v>99.2</v>
      </c>
      <c r="Q14" s="17" t="n">
        <v>99.19</v>
      </c>
      <c r="R14" s="17" t="n">
        <v>187.65</v>
      </c>
      <c r="S14" s="17" t="n">
        <v>45.08</v>
      </c>
      <c r="T14" s="17" t="n">
        <v>0</v>
      </c>
      <c r="U14" s="17" t="n">
        <v>171.79</v>
      </c>
      <c r="V14" s="17" t="n">
        <v>168.88</v>
      </c>
      <c r="W14" s="17" t="n">
        <v>141.3</v>
      </c>
      <c r="X14" s="17" t="n">
        <v>108.06</v>
      </c>
      <c r="Y14" s="17" t="n">
        <v>0</v>
      </c>
      <c r="Z14" s="17" t="n">
        <v>0</v>
      </c>
      <c r="AA14" s="17" t="n"/>
      <c r="AB14" s="18">
        <f>SUM(M14:AA14)</f>
        <v/>
      </c>
      <c r="AC14" s="13" t="n"/>
      <c r="AD14" s="13" t="n"/>
      <c r="AE14" s="13" t="n"/>
    </row>
    <row r="15" ht="21" customHeight="1">
      <c r="A15" s="14" t="inlineStr">
        <is>
          <t>FRANCA</t>
        </is>
      </c>
      <c r="B15" s="15" t="inlineStr">
        <is>
          <t>CHAPA_30</t>
        </is>
      </c>
      <c r="C15" s="10">
        <f>AB15</f>
        <v/>
      </c>
      <c r="D15" s="10">
        <f>C15*0.1818</f>
        <v/>
      </c>
      <c r="E15" s="10">
        <f>SUM(C15:D15)</f>
        <v/>
      </c>
      <c r="F15" s="10">
        <f>E15*0.1111</f>
        <v/>
      </c>
      <c r="G15" s="10">
        <f>E15*0.083</f>
        <v/>
      </c>
      <c r="H15" s="10">
        <f>SUM(E15:G15)*0.08</f>
        <v/>
      </c>
      <c r="I15" s="16">
        <f>IF(E15&lt;=$F$67,E15*$G$67,IF(E15&lt;=$F$68,E15*$G$68,IF(E15&lt;=$F$69,E15*$G$69,513.0125)))</f>
        <v/>
      </c>
      <c r="J15" s="9" t="n"/>
      <c r="K15" s="10" t="n"/>
      <c r="L15" s="10" t="n"/>
      <c r="M15" s="17" t="n">
        <v>0</v>
      </c>
      <c r="N15" s="17" t="n">
        <v>0</v>
      </c>
      <c r="O15" s="17" t="n">
        <v>0</v>
      </c>
      <c r="P15" s="17" t="n">
        <v>99.19</v>
      </c>
      <c r="Q15" s="17" t="n">
        <v>99.19</v>
      </c>
      <c r="R15" s="17" t="n">
        <v>187.65</v>
      </c>
      <c r="S15" s="17" t="n">
        <v>45.08</v>
      </c>
      <c r="T15" s="17" t="n">
        <v>0</v>
      </c>
      <c r="U15" s="17" t="n">
        <v>171.79</v>
      </c>
      <c r="V15" s="17" t="n">
        <v>168.88</v>
      </c>
      <c r="W15" s="17" t="n">
        <v>149.75</v>
      </c>
      <c r="X15" s="17" t="n">
        <v>124.96</v>
      </c>
      <c r="Y15" s="17" t="n">
        <v>45.08</v>
      </c>
      <c r="Z15" s="17" t="n">
        <v>0</v>
      </c>
      <c r="AA15" s="17" t="n"/>
      <c r="AB15" s="18">
        <f>SUM(M15:AA15)</f>
        <v/>
      </c>
      <c r="AC15" s="13" t="n"/>
      <c r="AD15" s="13" t="n"/>
      <c r="AE15" s="13" t="n"/>
    </row>
    <row r="16" ht="21" customHeight="1">
      <c r="A16" s="14" t="inlineStr">
        <is>
          <t>FRANCA</t>
        </is>
      </c>
      <c r="B16" s="101" t="inlineStr">
        <is>
          <t>CHAPA_26</t>
        </is>
      </c>
      <c r="C16" s="10">
        <f>AB16</f>
        <v/>
      </c>
      <c r="D16" s="10">
        <f>C16*0.1818</f>
        <v/>
      </c>
      <c r="E16" s="10">
        <f>SUM(C16:D16)</f>
        <v/>
      </c>
      <c r="F16" s="10">
        <f>E16*0.1111</f>
        <v/>
      </c>
      <c r="G16" s="10">
        <f>E16*0.083</f>
        <v/>
      </c>
      <c r="H16" s="10">
        <f>SUM(E16:G16)*0.08</f>
        <v/>
      </c>
      <c r="I16" s="16">
        <f>IF(E16&lt;=$F$67,E16*$G$67,IF(E16&lt;=$F$68,E16*$G$68,IF(E16&lt;=$F$69,E16*$G$69,513.0125)))</f>
        <v/>
      </c>
      <c r="J16" s="9" t="n"/>
      <c r="K16" s="10" t="n"/>
      <c r="L16" s="10" t="n"/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02" t="n">
        <v>99.19</v>
      </c>
      <c r="V16" s="102" t="n">
        <v>99.19</v>
      </c>
      <c r="W16" s="102" t="n">
        <v>99.29000000000001</v>
      </c>
      <c r="X16" s="102" t="n">
        <v>126.71</v>
      </c>
      <c r="Y16" s="102" t="n">
        <v>99.19</v>
      </c>
      <c r="Z16" s="17" t="n">
        <v>0</v>
      </c>
      <c r="AA16" s="17" t="n"/>
      <c r="AB16" s="18">
        <f>SUM(M16:AA16)</f>
        <v/>
      </c>
      <c r="AC16" s="13" t="n"/>
      <c r="AD16" s="13" t="n"/>
      <c r="AE16" s="13" t="n"/>
    </row>
    <row r="17" ht="21" customHeight="1">
      <c r="A17" s="14" t="inlineStr">
        <is>
          <t>FRANCA</t>
        </is>
      </c>
      <c r="B17" s="15" t="inlineStr">
        <is>
          <t>CHAPA_37</t>
        </is>
      </c>
      <c r="C17" s="10">
        <f>AB17</f>
        <v/>
      </c>
      <c r="D17" s="10">
        <f>C17*0.1818</f>
        <v/>
      </c>
      <c r="E17" s="10">
        <f>SUM(C17:D17)</f>
        <v/>
      </c>
      <c r="F17" s="10">
        <f>E17*0.1111</f>
        <v/>
      </c>
      <c r="G17" s="10">
        <f>E17*0.083</f>
        <v/>
      </c>
      <c r="H17" s="10">
        <f>SUM(E17:G17)*0.08</f>
        <v/>
      </c>
      <c r="I17" s="16">
        <f>IF(E17&lt;=$F$67,E17*$G$67,IF(E17&lt;=$F$68,E17*$G$68,IF(E17&lt;=$F$69,E17*$G$69,513.0125)))</f>
        <v/>
      </c>
      <c r="J17" s="9" t="n"/>
      <c r="K17" s="10" t="n"/>
      <c r="L17" s="10" t="n"/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107.65</v>
      </c>
      <c r="Z17" s="17" t="n">
        <v>0</v>
      </c>
      <c r="AA17" s="17" t="n"/>
      <c r="AB17" s="18">
        <f>SUM(M17:AA17)</f>
        <v/>
      </c>
      <c r="AC17" s="13" t="n"/>
      <c r="AD17" s="13" t="n"/>
      <c r="AE17" s="13" t="n"/>
    </row>
    <row r="18" ht="21" customHeight="1">
      <c r="A18" s="14" t="inlineStr">
        <is>
          <t>FRANCA</t>
        </is>
      </c>
      <c r="B18" s="98" t="n"/>
      <c r="C18" s="10">
        <f>AB18</f>
        <v/>
      </c>
      <c r="D18" s="10">
        <f>C18*0.1818</f>
        <v/>
      </c>
      <c r="E18" s="10">
        <f>SUM(C18:D18)</f>
        <v/>
      </c>
      <c r="F18" s="10">
        <f>E18*0.1111</f>
        <v/>
      </c>
      <c r="G18" s="10">
        <f>E18*0.083</f>
        <v/>
      </c>
      <c r="H18" s="10">
        <f>SUM(E18:G18)*0.08</f>
        <v/>
      </c>
      <c r="I18" s="16">
        <f>IF(E18&lt;=$F$67,E18*$G$67,IF(E18&lt;=$F$68,E18*$G$68,IF(E18&lt;=$F$69,E18*$G$69,513.0125)))</f>
        <v/>
      </c>
      <c r="J18" s="9" t="n"/>
      <c r="K18" s="10" t="n"/>
      <c r="L18" s="1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8">
        <f>SUM(M18:AA18)</f>
        <v/>
      </c>
      <c r="AC18" s="13" t="n"/>
      <c r="AD18" s="13" t="n"/>
      <c r="AE18" s="13" t="n"/>
    </row>
    <row r="19" ht="21" customHeight="1">
      <c r="A19" s="14" t="inlineStr">
        <is>
          <t>FRANCA</t>
        </is>
      </c>
      <c r="B19" s="22" t="n"/>
      <c r="C19" s="10">
        <f>AB19</f>
        <v/>
      </c>
      <c r="D19" s="10">
        <f>C19*0.1818</f>
        <v/>
      </c>
      <c r="E19" s="10">
        <f>SUM(C19:D19)</f>
        <v/>
      </c>
      <c r="F19" s="10">
        <f>E19*0.1111</f>
        <v/>
      </c>
      <c r="G19" s="10">
        <f>E19*0.083</f>
        <v/>
      </c>
      <c r="H19" s="10">
        <f>SUM(E19:G19)*0.08</f>
        <v/>
      </c>
      <c r="I19" s="16">
        <f>IF(E19&lt;=$F$67,E19*$G$67,IF(E19&lt;=$F$68,E19*$G$68,IF(E19&lt;=$F$69,E19*$G$69,513.0125)))</f>
        <v/>
      </c>
      <c r="J19" s="9" t="n"/>
      <c r="K19" s="10" t="n"/>
      <c r="L19" s="10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8">
        <f>SUM(M19:AA19)</f>
        <v/>
      </c>
      <c r="AC19" s="13" t="n"/>
      <c r="AD19" s="13" t="n"/>
      <c r="AE19" s="13" t="n"/>
    </row>
    <row r="20" ht="21" customHeight="1">
      <c r="A20" s="14" t="inlineStr">
        <is>
          <t>FRANCA</t>
        </is>
      </c>
      <c r="B20" s="98" t="n"/>
      <c r="C20" s="10">
        <f>AB20</f>
        <v/>
      </c>
      <c r="D20" s="10">
        <f>C20*0.1818</f>
        <v/>
      </c>
      <c r="E20" s="10">
        <f>SUM(C20:D20)</f>
        <v/>
      </c>
      <c r="F20" s="10">
        <f>E20*0.1111</f>
        <v/>
      </c>
      <c r="G20" s="10">
        <f>E20*0.083</f>
        <v/>
      </c>
      <c r="H20" s="10">
        <f>SUM(E20:G20)*0.08</f>
        <v/>
      </c>
      <c r="I20" s="16">
        <f>IF(E20&lt;=$F$67,E20*$G$67,IF(E20&lt;=$F$68,E20*$G$68,IF(E20&lt;=$F$69,E20*$G$69,513.0125)))</f>
        <v/>
      </c>
      <c r="J20" s="9" t="n"/>
      <c r="K20" s="10" t="n"/>
      <c r="L20" s="10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8">
        <f>SUM(M20:AA20)</f>
        <v/>
      </c>
      <c r="AC20" s="13" t="n"/>
      <c r="AD20" s="13" t="n"/>
      <c r="AE20" s="13" t="n"/>
    </row>
    <row r="21" ht="21" customHeight="1">
      <c r="A21" s="14" t="inlineStr">
        <is>
          <t>FRANCA</t>
        </is>
      </c>
      <c r="B21" s="15" t="n"/>
      <c r="C21" s="10">
        <f>AB21</f>
        <v/>
      </c>
      <c r="D21" s="10">
        <f>C21*0.1818</f>
        <v/>
      </c>
      <c r="E21" s="10">
        <f>SUM(C21:D21)</f>
        <v/>
      </c>
      <c r="F21" s="10">
        <f>E21*0.1111</f>
        <v/>
      </c>
      <c r="G21" s="10">
        <f>E21*0.083</f>
        <v/>
      </c>
      <c r="H21" s="10">
        <f>SUM(E21:G21)*0.08</f>
        <v/>
      </c>
      <c r="I21" s="16">
        <f>IF(E21&lt;=$F$67,E21*$G$67,IF(E21&lt;=$F$68,E21*$G$68,IF(E21&lt;=$F$69,E21*$G$69,513.0125)))</f>
        <v/>
      </c>
      <c r="J21" s="9" t="n"/>
      <c r="K21" s="10" t="n"/>
      <c r="L21" s="10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8">
        <f>SUM(M21:AA21)</f>
        <v/>
      </c>
      <c r="AC21" s="13" t="n"/>
      <c r="AD21" s="13" t="n"/>
      <c r="AE21" s="13" t="n"/>
    </row>
    <row r="22" ht="21" customHeight="1">
      <c r="A22" s="14" t="inlineStr">
        <is>
          <t>FRANCA</t>
        </is>
      </c>
      <c r="B22" s="15" t="n"/>
      <c r="C22" s="10">
        <f>AB22</f>
        <v/>
      </c>
      <c r="D22" s="10">
        <f>C22*0.1818</f>
        <v/>
      </c>
      <c r="E22" s="10">
        <f>SUM(C22:D22)</f>
        <v/>
      </c>
      <c r="F22" s="10">
        <f>E22*0.1111</f>
        <v/>
      </c>
      <c r="G22" s="10">
        <f>E22*0.083</f>
        <v/>
      </c>
      <c r="H22" s="10">
        <f>SUM(E22:G22)*0.08</f>
        <v/>
      </c>
      <c r="I22" s="16">
        <f>IF(E22&lt;=$F$67,E22*$G$67,IF(E22&lt;=$F$68,E22*$G$68,IF(E22&lt;=$F$69,E22*$G$69,513.0125)))</f>
        <v/>
      </c>
      <c r="J22" s="9" t="n"/>
      <c r="K22" s="10" t="n"/>
      <c r="L22" s="10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8">
        <f>SUM(M22:AA22)</f>
        <v/>
      </c>
      <c r="AC22" s="13" t="n"/>
      <c r="AD22" s="13" t="n"/>
      <c r="AE22" s="13" t="n"/>
    </row>
    <row r="23" ht="21" customHeight="1">
      <c r="A23" s="14" t="inlineStr">
        <is>
          <t>FRANCA</t>
        </is>
      </c>
      <c r="B23" s="15" t="n"/>
      <c r="C23" s="10">
        <f>AB23</f>
        <v/>
      </c>
      <c r="D23" s="10">
        <f>C23*0.1818</f>
        <v/>
      </c>
      <c r="E23" s="10">
        <f>SUM(C23:D23)</f>
        <v/>
      </c>
      <c r="F23" s="10">
        <f>E23*0.1111</f>
        <v/>
      </c>
      <c r="G23" s="10">
        <f>E23*0.083</f>
        <v/>
      </c>
      <c r="H23" s="10">
        <f>SUM(E23:G23)*0.08</f>
        <v/>
      </c>
      <c r="I23" s="16">
        <f>IF(E23&lt;=$F$67,E23*$G$67,IF(E23&lt;=$F$68,E23*$G$68,IF(E23&lt;=$F$69,E23*$G$69,513.0125)))</f>
        <v/>
      </c>
      <c r="J23" s="9" t="n"/>
      <c r="K23" s="10" t="n"/>
      <c r="L23" s="10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8">
        <f>SUM(M23:AA23)</f>
        <v/>
      </c>
      <c r="AC23" s="13" t="n"/>
      <c r="AD23" s="13" t="n"/>
      <c r="AE23" s="13" t="n"/>
    </row>
    <row r="24" ht="21" customHeight="1">
      <c r="A24" s="14" t="inlineStr">
        <is>
          <t>FRANCA</t>
        </is>
      </c>
      <c r="B24" s="24" t="n"/>
      <c r="C24" s="10">
        <f>AB24</f>
        <v/>
      </c>
      <c r="D24" s="10">
        <f>C24*0.1818</f>
        <v/>
      </c>
      <c r="E24" s="10">
        <f>SUM(C24:D24)</f>
        <v/>
      </c>
      <c r="F24" s="10">
        <f>E24*0.1111</f>
        <v/>
      </c>
      <c r="G24" s="10">
        <f>E24*0.083</f>
        <v/>
      </c>
      <c r="H24" s="10">
        <f>SUM(E24:G24)*0.08</f>
        <v/>
      </c>
      <c r="I24" s="16">
        <f>IF(E24&lt;=$F$67,E24*$G$67,IF(E24&lt;=$F$68,E24*$G$68,IF(E24&lt;=$F$69,E24*$G$69,513.0125)))</f>
        <v/>
      </c>
      <c r="J24" s="9" t="n"/>
      <c r="K24" s="10" t="n"/>
      <c r="L24" s="10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8">
        <f>SUM(M24:AA24)</f>
        <v/>
      </c>
      <c r="AC24" s="13" t="n"/>
      <c r="AD24" s="13" t="n"/>
      <c r="AE24" s="13" t="n"/>
    </row>
    <row r="25" ht="21" customHeight="1">
      <c r="A25" s="14" t="inlineStr">
        <is>
          <t>FRANCA</t>
        </is>
      </c>
      <c r="B25" s="15" t="n"/>
      <c r="C25" s="10">
        <f>AB25</f>
        <v/>
      </c>
      <c r="D25" s="10">
        <f>C25*0.1818</f>
        <v/>
      </c>
      <c r="E25" s="10">
        <f>SUM(C25:D25)</f>
        <v/>
      </c>
      <c r="F25" s="10">
        <f>E25*0.1111</f>
        <v/>
      </c>
      <c r="G25" s="10">
        <f>E25*0.083</f>
        <v/>
      </c>
      <c r="H25" s="10">
        <f>SUM(E25:G25)*0.08</f>
        <v/>
      </c>
      <c r="I25" s="16">
        <f>IF(E25&lt;=$F$67,E25*$G$67,IF(E25&lt;=$F$68,E25*$G$68,IF(E25&lt;=$F$69,E25*$G$69,513.0125)))</f>
        <v/>
      </c>
      <c r="J25" s="9" t="n"/>
      <c r="K25" s="10" t="n"/>
      <c r="L25" s="10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8">
        <f>SUM(M25:AA25)</f>
        <v/>
      </c>
      <c r="AC25" s="13" t="n"/>
      <c r="AD25" s="13" t="n"/>
      <c r="AE25" s="13" t="n"/>
    </row>
    <row r="26" ht="21.6" customHeight="1" thickBot="1">
      <c r="A26" s="25" t="n"/>
      <c r="B26" s="15" t="n"/>
      <c r="C26" s="26">
        <f>AB26</f>
        <v/>
      </c>
      <c r="D26" s="26">
        <f>C26*0.1818</f>
        <v/>
      </c>
      <c r="E26" s="26">
        <f>SUM(C26:D26)</f>
        <v/>
      </c>
      <c r="F26" s="26">
        <f>E26*0.1111</f>
        <v/>
      </c>
      <c r="G26" s="26">
        <f>E26*0.083</f>
        <v/>
      </c>
      <c r="H26" s="26">
        <f>SUM(E26:G26)*0.08</f>
        <v/>
      </c>
      <c r="I26" s="27">
        <f>IF(E26&lt;=$F$67,E26*$G$67,IF(E26&lt;=$F$68,E26*$G$68,IF(E26&lt;=$F$69,E26*$G$69,513.0125)))</f>
        <v/>
      </c>
      <c r="J26" s="9" t="n"/>
      <c r="K26" s="10" t="n"/>
      <c r="L26" s="10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8">
        <f>SUM(M26:AA26)</f>
        <v/>
      </c>
      <c r="AC26" s="13" t="n"/>
      <c r="AD26" s="13" t="n"/>
      <c r="AE26" s="13" t="n"/>
    </row>
    <row r="27" ht="21" customHeight="1" thickBot="1">
      <c r="A27" s="10" t="n"/>
      <c r="B27" s="15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28">
        <f>COUNT(M26:M26)</f>
        <v/>
      </c>
      <c r="N27" s="28">
        <f>COUNT(N26:N26)</f>
        <v/>
      </c>
      <c r="O27" s="28">
        <f>COUNT(O26:O26)</f>
        <v/>
      </c>
      <c r="P27" s="28">
        <f>COUNT(P26:P26)</f>
        <v/>
      </c>
      <c r="Q27" s="28">
        <f>COUNT(Q26:Q26)</f>
        <v/>
      </c>
      <c r="R27" s="28" t="n"/>
      <c r="S27" s="28">
        <f>COUNT(S26:S26)</f>
        <v/>
      </c>
      <c r="T27" s="28">
        <f>COUNT(T26:T26)</f>
        <v/>
      </c>
      <c r="U27" s="28" t="n"/>
      <c r="V27" s="28" t="n"/>
      <c r="W27" s="28" t="n"/>
      <c r="X27" s="28" t="n"/>
      <c r="Y27" s="28" t="n"/>
      <c r="Z27" s="28" t="n"/>
      <c r="AA27" s="28" t="n"/>
      <c r="AB27" s="10" t="n"/>
      <c r="AC27" s="13" t="n"/>
      <c r="AD27" s="13" t="n"/>
      <c r="AE27" s="13" t="n"/>
    </row>
    <row r="28" ht="21.6" customHeight="1" thickBot="1">
      <c r="J28" s="10" t="n"/>
      <c r="K28" s="10" t="n"/>
      <c r="L28" s="10" t="n"/>
      <c r="M28" s="29" t="inlineStr">
        <is>
          <t>TOTAL GERAL / BOLETIM ENSACADORES:</t>
        </is>
      </c>
      <c r="N28" s="30" t="n"/>
      <c r="O28" s="30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2" t="inlineStr">
        <is>
          <t>TOTAL:</t>
        </is>
      </c>
      <c r="AD28" s="13" t="n"/>
      <c r="AE28" s="13" t="n"/>
    </row>
    <row r="29" ht="21.6" customHeight="1" thickBot="1">
      <c r="A29" s="36" t="inlineStr">
        <is>
          <t>MÉDIA DIÁRIA CHAPAS</t>
        </is>
      </c>
      <c r="B29" s="36" t="n"/>
      <c r="C29" s="37" t="n">
        <v>11</v>
      </c>
      <c r="J29" s="10" t="n"/>
      <c r="K29" s="10" t="n"/>
      <c r="L29" s="10" t="n"/>
      <c r="M29" s="33">
        <f>SUM(M6:M26)</f>
        <v/>
      </c>
      <c r="N29" s="33">
        <f>SUM(N6:N26)</f>
        <v/>
      </c>
      <c r="O29" s="33">
        <f>SUM(O6:O26)</f>
        <v/>
      </c>
      <c r="P29" s="33">
        <f>SUM(P6:P26)</f>
        <v/>
      </c>
      <c r="Q29" s="33">
        <f>SUM(Q6:Q26)</f>
        <v/>
      </c>
      <c r="R29" s="33">
        <f>SUM(R6:R26)</f>
        <v/>
      </c>
      <c r="S29" s="33">
        <f>SUM(S6:S26)</f>
        <v/>
      </c>
      <c r="T29" s="33">
        <f>SUM(T6:T26)</f>
        <v/>
      </c>
      <c r="U29" s="33">
        <f>SUM(U6:U26)</f>
        <v/>
      </c>
      <c r="V29" s="33">
        <f>SUM(V6:V26)</f>
        <v/>
      </c>
      <c r="W29" s="33">
        <f>SUM(W6:W26)</f>
        <v/>
      </c>
      <c r="X29" s="33">
        <f>SUM(X6:X26)</f>
        <v/>
      </c>
      <c r="Y29" s="33">
        <f>SUM(Y6:Y26)</f>
        <v/>
      </c>
      <c r="Z29" s="33" t="n"/>
      <c r="AA29" s="33">
        <f>SUM(AA6:AA26)</f>
        <v/>
      </c>
      <c r="AB29" s="34" t="n"/>
      <c r="AC29" s="35">
        <f>SUM(M29:AA29)</f>
        <v/>
      </c>
      <c r="AD29" s="13" t="n"/>
      <c r="AE29" s="13" t="n"/>
    </row>
    <row r="30" ht="20.4" customHeight="1">
      <c r="J30" s="10" t="n"/>
      <c r="K30" s="10" t="n"/>
      <c r="L30" s="10" t="n"/>
      <c r="AD30" s="13" t="n"/>
      <c r="AE30" s="13" t="n"/>
    </row>
    <row r="31" ht="20.4" customHeight="1"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AD31" s="13" t="n"/>
      <c r="AE31" s="13" t="n"/>
    </row>
    <row r="32" ht="20.4" customHeight="1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99" t="n"/>
      <c r="AE32" s="99" t="n"/>
    </row>
    <row r="33" ht="21.6" customHeight="1" thickBot="1">
      <c r="A33" s="38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3" t="n"/>
      <c r="AE33" s="13" t="n"/>
    </row>
    <row r="34" ht="21" customHeight="1" thickBot="1">
      <c r="A34" s="111" t="inlineStr">
        <is>
          <t>2ª QUINZENA</t>
        </is>
      </c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08" t="n"/>
      <c r="L34" s="4" t="n"/>
      <c r="M34" s="112" t="inlineStr">
        <is>
          <t xml:space="preserve">TOTAL </t>
        </is>
      </c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10" t="n"/>
      <c r="AD34" s="2" t="n"/>
      <c r="AE34" s="2" t="n"/>
    </row>
    <row r="35" ht="42.6" customHeight="1" thickBot="1">
      <c r="A35" s="40" t="inlineStr">
        <is>
          <t>LOCAL</t>
        </is>
      </c>
      <c r="B35" s="40" t="inlineStr">
        <is>
          <t>NOME</t>
        </is>
      </c>
      <c r="C35" s="41" t="inlineStr">
        <is>
          <t>DIÁRIA</t>
        </is>
      </c>
      <c r="D35" s="41" t="inlineStr">
        <is>
          <t>DSR</t>
        </is>
      </c>
      <c r="E35" s="41" t="inlineStr">
        <is>
          <t>TOTAL</t>
        </is>
      </c>
      <c r="F35" s="41" t="inlineStr">
        <is>
          <t>FÉRIAS</t>
        </is>
      </c>
      <c r="G35" s="41" t="inlineStr">
        <is>
          <t>13º SALÁRIO</t>
        </is>
      </c>
      <c r="H35" s="41" t="inlineStr">
        <is>
          <t>FGTS</t>
        </is>
      </c>
      <c r="I35" s="42" t="inlineStr">
        <is>
          <t>T. 1º Q.</t>
        </is>
      </c>
      <c r="J35" s="42" t="inlineStr">
        <is>
          <t>INSS 1º</t>
        </is>
      </c>
      <c r="K35" s="43" t="inlineStr">
        <is>
          <t>INSS</t>
        </is>
      </c>
      <c r="L35" s="9" t="n"/>
      <c r="M35" s="44" t="n">
        <v>45977</v>
      </c>
      <c r="N35" s="44" t="n">
        <v>45978</v>
      </c>
      <c r="O35" s="44" t="n">
        <v>45979</v>
      </c>
      <c r="P35" s="44" t="n">
        <v>45980</v>
      </c>
      <c r="Q35" s="44" t="n">
        <v>45981</v>
      </c>
      <c r="R35" s="44" t="n">
        <v>45982</v>
      </c>
      <c r="S35" s="44" t="n">
        <v>45983</v>
      </c>
      <c r="T35" s="44" t="n">
        <v>45984</v>
      </c>
      <c r="U35" s="44" t="n">
        <v>45985</v>
      </c>
      <c r="V35" s="44" t="n">
        <v>45986</v>
      </c>
      <c r="W35" s="44" t="n">
        <v>45987</v>
      </c>
      <c r="X35" s="44" t="n">
        <v>45988</v>
      </c>
      <c r="Y35" s="44" t="n">
        <v>45989</v>
      </c>
      <c r="Z35" s="44" t="n">
        <v>45990</v>
      </c>
      <c r="AA35" s="44" t="n">
        <v>45991</v>
      </c>
      <c r="AB35" s="8" t="inlineStr">
        <is>
          <t>TOTAL</t>
        </is>
      </c>
      <c r="AC35" s="13" t="n"/>
      <c r="AD35" s="13" t="n"/>
      <c r="AE35" s="13" t="n"/>
    </row>
    <row r="36" ht="21" customHeight="1">
      <c r="A36" s="46" t="inlineStr">
        <is>
          <t>FRANCA</t>
        </is>
      </c>
      <c r="B36" s="22" t="inlineStr">
        <is>
          <t>CHAPA_08</t>
        </is>
      </c>
      <c r="C36" s="10">
        <f>AB36</f>
        <v/>
      </c>
      <c r="D36" s="10">
        <f>C36*0.1818</f>
        <v/>
      </c>
      <c r="E36" s="10">
        <f>SUM(C36:D36)</f>
        <v/>
      </c>
      <c r="F36" s="10">
        <f>E36*0.1111</f>
        <v/>
      </c>
      <c r="G36" s="10">
        <f>E36*0.083</f>
        <v/>
      </c>
      <c r="H36" s="10">
        <f>SUM(E36:G36)*0.08</f>
        <v/>
      </c>
      <c r="I36" s="10">
        <f>IF(E36&lt;=$F$67,E36*$G$67,IF(E36&lt;=$F$68,E36*$G$68,IF(E36&lt;=$F$69,E36*$G$69,513.0125)))</f>
        <v/>
      </c>
      <c r="J36" s="88">
        <f>IF(#REF!=0,0,VLOOKUP(B36,$B$6:$I$26,8,0))</f>
        <v/>
      </c>
      <c r="K36" s="89">
        <f>IF(E36+I36&lt;=$K$60,(E36+I36)*J70-J36,IF(E36+I36&lt;=$K$61,(E36+I36)*J71-J36,IF(E36+I36&lt;=$K$62,(E36+I36)*L72-J36,513.0125)))</f>
        <v/>
      </c>
      <c r="L36" s="9" t="n"/>
      <c r="M36" s="17" t="n">
        <v>0</v>
      </c>
      <c r="N36" s="17" t="n">
        <v>99.2</v>
      </c>
      <c r="O36" s="17" t="n">
        <v>124.55</v>
      </c>
      <c r="P36" s="17" t="n">
        <v>99.19</v>
      </c>
      <c r="Q36" s="17" t="n">
        <v>0</v>
      </c>
      <c r="R36" s="17" t="n">
        <v>99.2</v>
      </c>
      <c r="S36" s="17" t="n">
        <v>0</v>
      </c>
      <c r="T36" s="17" t="n">
        <v>0</v>
      </c>
      <c r="U36" s="17" t="n">
        <v>0</v>
      </c>
      <c r="V36" s="17" t="n">
        <v>158.36</v>
      </c>
      <c r="W36" s="17" t="n">
        <v>149.91</v>
      </c>
      <c r="X36" s="17" t="n">
        <v>99.19</v>
      </c>
      <c r="Y36" s="17" t="n">
        <v>0</v>
      </c>
      <c r="Z36" s="17" t="n">
        <v>87.34999999999999</v>
      </c>
      <c r="AA36" s="17" t="n">
        <v>0</v>
      </c>
      <c r="AB36" s="49">
        <f>SUM(M36:AA36)</f>
        <v/>
      </c>
      <c r="AC36" s="13" t="n"/>
      <c r="AD36" s="13" t="n"/>
      <c r="AE36" s="13" t="n"/>
    </row>
    <row r="37" ht="21" customHeight="1">
      <c r="A37" s="46" t="inlineStr">
        <is>
          <t>FRANCA</t>
        </is>
      </c>
      <c r="B37" s="22" t="inlineStr">
        <is>
          <t>CHAPA_09</t>
        </is>
      </c>
      <c r="C37" s="90">
        <f>AB37</f>
        <v/>
      </c>
      <c r="D37" s="90">
        <f>C37*0.1818</f>
        <v/>
      </c>
      <c r="E37" s="90">
        <f>SUM(C37:D37)</f>
        <v/>
      </c>
      <c r="F37" s="90">
        <f>E37*0.1111</f>
        <v/>
      </c>
      <c r="G37" s="90">
        <f>E37*0.083</f>
        <v/>
      </c>
      <c r="H37" s="90">
        <f>SUM(E37:G37)*0.08</f>
        <v/>
      </c>
      <c r="I37" s="88">
        <f>AB6</f>
        <v/>
      </c>
      <c r="J37" s="88">
        <f>IF(I6=0,0,VLOOKUP(B36,$B$6:$I$26,8,0))</f>
        <v/>
      </c>
      <c r="K37" s="89">
        <f>IF(E37+I37&lt;=$K$60,(E37+I37)*J71-J37,IF(E37+I37&lt;=$K$61,(E37+I37)*J72-J37,IF(E37+I37&lt;=$K$62,(E37+I37)*L73-J37,513.0125)))</f>
        <v/>
      </c>
      <c r="L37" s="9" t="n"/>
      <c r="M37" s="17" t="n">
        <v>0</v>
      </c>
      <c r="N37" s="17" t="n">
        <v>99.2</v>
      </c>
      <c r="O37" s="17" t="n">
        <v>99.2</v>
      </c>
      <c r="P37" s="17" t="n">
        <v>99.19</v>
      </c>
      <c r="Q37" s="17" t="n">
        <v>0</v>
      </c>
      <c r="R37" s="17" t="n">
        <v>99.2</v>
      </c>
      <c r="S37" s="17" t="n">
        <v>28.18</v>
      </c>
      <c r="T37" s="17" t="n">
        <v>0</v>
      </c>
      <c r="U37" s="17" t="n">
        <v>0</v>
      </c>
      <c r="V37" s="17" t="n">
        <v>158.36</v>
      </c>
      <c r="W37" s="17" t="n">
        <v>149.91</v>
      </c>
      <c r="X37" s="17" t="n">
        <v>99.19</v>
      </c>
      <c r="Y37" s="17" t="n">
        <v>0</v>
      </c>
      <c r="Z37" s="17" t="n">
        <v>0</v>
      </c>
      <c r="AA37" s="17" t="n">
        <v>0</v>
      </c>
      <c r="AB37" s="49">
        <f>SUM(M37:AA37)</f>
        <v/>
      </c>
      <c r="AC37" s="13" t="n"/>
      <c r="AD37" s="13" t="n"/>
      <c r="AE37" s="13" t="n"/>
    </row>
    <row r="38" ht="21" customHeight="1">
      <c r="A38" s="46" t="inlineStr">
        <is>
          <t>FRANCA</t>
        </is>
      </c>
      <c r="B38" s="22" t="inlineStr">
        <is>
          <t>CHAPA_15</t>
        </is>
      </c>
      <c r="C38" s="10">
        <f>AB38</f>
        <v/>
      </c>
      <c r="D38" s="10">
        <f>C38*0.1818</f>
        <v/>
      </c>
      <c r="E38" s="10">
        <f>SUM(C38:D38)</f>
        <v/>
      </c>
      <c r="F38" s="10">
        <f>E38*0.1111</f>
        <v/>
      </c>
      <c r="G38" s="10">
        <f>E38*0.083</f>
        <v/>
      </c>
      <c r="H38" s="10">
        <f>SUM(E38:G38)*0.08</f>
        <v/>
      </c>
      <c r="I38" s="10">
        <f>IF(E38&lt;=$F$67,E38*$G$67,IF(E38&lt;=$F$68,E38*$G$68,IF(E38&lt;=$F$69,E38*$G$69,513.0125)))</f>
        <v/>
      </c>
      <c r="J38" s="88">
        <f>IF(I8=0,0,VLOOKUP(B38,$B$6:$I$26,8,0))</f>
        <v/>
      </c>
      <c r="K38" s="89">
        <f>IF(E38+I38&lt;=$K$60,(E38+I38)*J72-J38,IF(E38+I38&lt;=$K$61,(E38+I38)*J73-J38,IF(E38+I38&lt;=$K$62,(E38+I38)*L74-J38,513.0125)))</f>
        <v/>
      </c>
      <c r="L38" s="9" t="n"/>
      <c r="M38" s="17" t="n">
        <v>0</v>
      </c>
      <c r="N38" s="17" t="n">
        <v>99.2</v>
      </c>
      <c r="O38" s="17" t="n">
        <v>99.2</v>
      </c>
      <c r="P38" s="17" t="n">
        <v>99.19</v>
      </c>
      <c r="Q38" s="17" t="n">
        <v>0</v>
      </c>
      <c r="R38" s="17" t="n">
        <v>99.2</v>
      </c>
      <c r="S38" s="17" t="n">
        <v>45.08</v>
      </c>
      <c r="T38" s="17" t="n">
        <v>0</v>
      </c>
      <c r="U38" s="17" t="n">
        <v>99.2</v>
      </c>
      <c r="V38" s="17" t="n">
        <v>99.19</v>
      </c>
      <c r="W38" s="17" t="n">
        <v>99.19</v>
      </c>
      <c r="X38" s="17" t="n">
        <v>99.19</v>
      </c>
      <c r="Y38" s="17" t="n">
        <v>0</v>
      </c>
      <c r="Z38" s="17" t="n">
        <v>45.09</v>
      </c>
      <c r="AA38" s="17" t="n">
        <v>0</v>
      </c>
      <c r="AB38" s="49">
        <f>SUM(M38:AA38)</f>
        <v/>
      </c>
      <c r="AC38" s="13" t="n"/>
      <c r="AD38" s="13" t="n"/>
      <c r="AE38" s="13" t="n"/>
    </row>
    <row r="39" ht="21" customHeight="1">
      <c r="A39" s="46" t="inlineStr">
        <is>
          <t>FRANCA</t>
        </is>
      </c>
      <c r="B39" s="22" t="inlineStr">
        <is>
          <t>CHAPA_17</t>
        </is>
      </c>
      <c r="C39" s="10">
        <f>AB39</f>
        <v/>
      </c>
      <c r="D39" s="10">
        <f>C39*0.1818</f>
        <v/>
      </c>
      <c r="E39" s="10">
        <f>SUM(C39:D39)</f>
        <v/>
      </c>
      <c r="F39" s="10">
        <f>E39*0.1111</f>
        <v/>
      </c>
      <c r="G39" s="10">
        <f>E39*0.083</f>
        <v/>
      </c>
      <c r="H39" s="10">
        <f>SUM(E39:G39)*0.08</f>
        <v/>
      </c>
      <c r="I39" s="10">
        <f>IF(E39&lt;=$F$67,E39*$G$67,IF(E39&lt;=$F$68,E39*$G$68,IF(E39&lt;=$F$69,E39*$G$69,513.0125)))</f>
        <v/>
      </c>
      <c r="J39" s="88">
        <f>IF(I10=0,0,VLOOKUP(B39,$B$6:$I$26,8,0))</f>
        <v/>
      </c>
      <c r="K39" s="89">
        <f>IF(E39+I39&lt;=$K$60,(E39+I39)*J73-J39,IF(E39+I39&lt;=$K$61,(E39+I39)*J74-J39,IF(E39+I39&lt;=$K$62,(E39+I39)*L75-J39,513.0125)))</f>
        <v/>
      </c>
      <c r="L39" s="9" t="n"/>
      <c r="M39" s="17" t="n">
        <v>0</v>
      </c>
      <c r="N39" s="17" t="n">
        <v>99.19</v>
      </c>
      <c r="O39" s="17" t="n">
        <v>99.19</v>
      </c>
      <c r="P39" s="17" t="n">
        <v>99.19</v>
      </c>
      <c r="Q39" s="17" t="n">
        <v>0</v>
      </c>
      <c r="R39" s="17" t="n">
        <v>99.2</v>
      </c>
      <c r="S39" s="17" t="n">
        <v>45.08</v>
      </c>
      <c r="T39" s="17" t="n">
        <v>0</v>
      </c>
      <c r="U39" s="17" t="n">
        <v>99.2</v>
      </c>
      <c r="V39" s="17" t="n">
        <v>0</v>
      </c>
      <c r="W39" s="17" t="n">
        <v>99.19</v>
      </c>
      <c r="X39" s="17" t="n">
        <v>149.91</v>
      </c>
      <c r="Y39" s="17" t="n">
        <v>0</v>
      </c>
      <c r="Z39" s="17" t="n">
        <v>45.09</v>
      </c>
      <c r="AA39" s="17" t="n">
        <v>0</v>
      </c>
      <c r="AB39" s="49">
        <f>SUM(M39:AA39)</f>
        <v/>
      </c>
      <c r="AC39" s="13" t="n"/>
      <c r="AD39" s="13" t="n"/>
      <c r="AE39" s="13" t="n"/>
    </row>
    <row r="40" ht="21" customHeight="1">
      <c r="A40" s="46" t="inlineStr">
        <is>
          <t>FRANCA</t>
        </is>
      </c>
      <c r="B40" s="101" t="inlineStr">
        <is>
          <t>CHAPA_30</t>
        </is>
      </c>
      <c r="C40" s="90">
        <f>AB40</f>
        <v/>
      </c>
      <c r="D40" s="90">
        <f>C40*0.1818</f>
        <v/>
      </c>
      <c r="E40" s="90">
        <f>SUM(C40:D40)</f>
        <v/>
      </c>
      <c r="F40" s="90">
        <f>E40*0.1111</f>
        <v/>
      </c>
      <c r="G40" s="90">
        <f>E40*0.083</f>
        <v/>
      </c>
      <c r="H40" s="90">
        <f>SUM(E40:G40)*0.08</f>
        <v/>
      </c>
      <c r="I40" s="88">
        <f>AB10</f>
        <v/>
      </c>
      <c r="J40" s="88">
        <f>IF(I10=0,0,VLOOKUP(B40,$B$6:$I$26,8,0))</f>
        <v/>
      </c>
      <c r="K40" s="89">
        <f>IF(E40+I40&lt;=$K$60,(E40+I40)*J74-J40,IF(E40+I40&lt;=$K$61,(E40+I40)*J75-J40,IF(E40+I40&lt;=$K$62,(E40+I40)*L76-J40,513.0125)))</f>
        <v/>
      </c>
      <c r="L40" s="9" t="n"/>
      <c r="M40" s="17" t="n">
        <v>0</v>
      </c>
      <c r="N40" s="17" t="n">
        <v>99.19</v>
      </c>
      <c r="O40" s="17" t="n">
        <v>99.19</v>
      </c>
      <c r="P40" s="17" t="n">
        <v>99.19</v>
      </c>
      <c r="Q40" s="17" t="n">
        <v>0</v>
      </c>
      <c r="R40" s="17" t="n">
        <v>99.19</v>
      </c>
      <c r="S40" s="17" t="n">
        <v>0</v>
      </c>
      <c r="T40" s="17" t="n">
        <v>0</v>
      </c>
      <c r="U40" s="102" t="n">
        <v>99.2</v>
      </c>
      <c r="V40" s="102" t="n">
        <v>99.19</v>
      </c>
      <c r="W40" s="102" t="n">
        <v>99.19</v>
      </c>
      <c r="X40" s="17" t="n">
        <v>99.19</v>
      </c>
      <c r="Y40" s="17" t="n">
        <v>0</v>
      </c>
      <c r="Z40" s="17" t="n">
        <v>45.09</v>
      </c>
      <c r="AA40" s="17" t="n">
        <v>0</v>
      </c>
      <c r="AB40" s="49">
        <f>SUM(M40:AA40)</f>
        <v/>
      </c>
      <c r="AC40" s="13" t="n"/>
      <c r="AD40" s="13" t="n"/>
      <c r="AE40" s="13" t="n"/>
    </row>
    <row r="41" ht="21" customHeight="1">
      <c r="A41" s="46" t="inlineStr">
        <is>
          <t>FRANCA</t>
        </is>
      </c>
      <c r="B41" s="101" t="inlineStr">
        <is>
          <t>CHAPA_26</t>
        </is>
      </c>
      <c r="C41" s="10">
        <f>AB41</f>
        <v/>
      </c>
      <c r="D41" s="10">
        <f>C41*0.1818</f>
        <v/>
      </c>
      <c r="E41" s="10">
        <f>SUM(C41:D41)</f>
        <v/>
      </c>
      <c r="F41" s="10">
        <f>E41*0.1111</f>
        <v/>
      </c>
      <c r="G41" s="10">
        <f>E41*0.083</f>
        <v/>
      </c>
      <c r="H41" s="10">
        <f>SUM(E41:G41)*0.08</f>
        <v/>
      </c>
      <c r="I41" s="10">
        <f>IF(E41&lt;=$F$67,E41*$G$67,IF(E41&lt;=$F$68,E41*$G$68,IF(E41&lt;=$F$69,E41*$G$69,513.0125)))</f>
        <v/>
      </c>
      <c r="J41" s="88">
        <f>IF(#REF!=0,0,VLOOKUP(#REF!,$B$6:$I$26,8,0))</f>
        <v/>
      </c>
      <c r="K41" s="89">
        <f>IF(E41+I41&lt;=$K$60,(E41+I41)*J75-J41,IF(E41+I41&lt;=$K$61,(E41+I41)*J76-J41,IF(E41+I41&lt;=$K$62,(E41+I41)*L77-J41,513.0125)))</f>
        <v/>
      </c>
      <c r="L41" s="9" t="n"/>
      <c r="M41" s="17" t="n">
        <v>0</v>
      </c>
      <c r="N41" s="102" t="n">
        <v>99.19</v>
      </c>
      <c r="O41" s="102" t="n">
        <v>99.19</v>
      </c>
      <c r="P41" s="102" t="n">
        <v>99.19</v>
      </c>
      <c r="Q41" s="17" t="n">
        <v>0</v>
      </c>
      <c r="R41" s="103" t="n">
        <v>99.19</v>
      </c>
      <c r="S41" s="17" t="n">
        <v>45.09</v>
      </c>
      <c r="T41" s="17" t="n">
        <v>0</v>
      </c>
      <c r="U41" s="17" t="n">
        <v>99.2</v>
      </c>
      <c r="V41" s="102" t="n">
        <v>99.19</v>
      </c>
      <c r="W41" s="102" t="n">
        <v>99.19</v>
      </c>
      <c r="X41" s="17" t="n">
        <v>99.19</v>
      </c>
      <c r="Y41" s="17" t="n">
        <v>0</v>
      </c>
      <c r="Z41" s="17" t="n">
        <v>87.34999999999999</v>
      </c>
      <c r="AA41" s="17" t="n">
        <v>0</v>
      </c>
      <c r="AB41" s="49">
        <f>SUM(M41:AA41)</f>
        <v/>
      </c>
      <c r="AC41" s="13" t="n"/>
      <c r="AD41" s="13" t="n"/>
      <c r="AE41" s="13" t="n"/>
    </row>
    <row r="42" ht="21" customHeight="1">
      <c r="A42" s="46" t="inlineStr">
        <is>
          <t>FRANCA</t>
        </is>
      </c>
      <c r="B42" s="15" t="inlineStr">
        <is>
          <t>CHAPA_31</t>
        </is>
      </c>
      <c r="C42" s="10">
        <f>AB42</f>
        <v/>
      </c>
      <c r="D42" s="10">
        <f>C42*0.1818</f>
        <v/>
      </c>
      <c r="E42" s="10">
        <f>SUM(C42:D42)</f>
        <v/>
      </c>
      <c r="F42" s="10">
        <f>E42*0.1111</f>
        <v/>
      </c>
      <c r="G42" s="10">
        <f>E42*0.083</f>
        <v/>
      </c>
      <c r="H42" s="10">
        <f>SUM(E42:G42)*0.08</f>
        <v/>
      </c>
      <c r="I42" s="10">
        <f>IF(E42&lt;=$F$67,E42*$G$67,IF(E42&lt;=$F$68,E42*$G$68,IF(E42&lt;=$F$69,E42*$G$69,513.0125)))</f>
        <v/>
      </c>
      <c r="J42" s="88">
        <f>IF(I13=0,0,VLOOKUP(B42,$B$6:$I$26,8,0))</f>
        <v/>
      </c>
      <c r="K42" s="89">
        <f>IF(E42+I42&lt;=$K$60,(E42+I42)*J77-J42,IF(E42+I42&lt;=$K$61,(E42+I42)*J78-J42,IF(E42+I42&lt;=$K$62,(E42+I42)*L79-J42,513.0125)))</f>
        <v/>
      </c>
      <c r="L42" s="9" t="n"/>
      <c r="M42" s="17" t="n">
        <v>0</v>
      </c>
      <c r="N42" s="17" t="n">
        <v>99.19</v>
      </c>
      <c r="O42" s="17" t="n">
        <v>0</v>
      </c>
      <c r="P42" s="17" t="n">
        <v>99.2</v>
      </c>
      <c r="Q42" s="17" t="n">
        <v>0</v>
      </c>
      <c r="R42" s="17" t="n">
        <v>99.19</v>
      </c>
      <c r="S42" s="17" t="n">
        <v>45.09</v>
      </c>
      <c r="T42" s="17" t="n">
        <v>0</v>
      </c>
      <c r="U42" s="17" t="n">
        <v>0</v>
      </c>
      <c r="V42" s="17" t="n">
        <v>99.2</v>
      </c>
      <c r="W42" s="17" t="n">
        <v>99.2</v>
      </c>
      <c r="X42" s="17" t="n">
        <v>99.2</v>
      </c>
      <c r="Y42" s="17" t="n">
        <v>0</v>
      </c>
      <c r="Z42" s="17" t="n">
        <v>0</v>
      </c>
      <c r="AA42" s="17" t="n">
        <v>0</v>
      </c>
      <c r="AB42" s="49">
        <f>SUM(M42:AA42)</f>
        <v/>
      </c>
      <c r="AC42" s="13" t="n"/>
      <c r="AD42" s="13" t="n"/>
      <c r="AE42" s="13" t="n"/>
    </row>
    <row r="43" ht="21" customHeight="1">
      <c r="A43" s="46" t="inlineStr">
        <is>
          <t>FRANCA</t>
        </is>
      </c>
      <c r="B43" s="15" t="inlineStr">
        <is>
          <t>CHAPA_37</t>
        </is>
      </c>
      <c r="C43" s="90">
        <f>AB43</f>
        <v/>
      </c>
      <c r="D43" s="90">
        <f>C43*0.1818</f>
        <v/>
      </c>
      <c r="E43" s="90">
        <f>SUM(C43:D43)</f>
        <v/>
      </c>
      <c r="F43" s="90">
        <f>E43*0.1111</f>
        <v/>
      </c>
      <c r="G43" s="90">
        <f>E43*0.083</f>
        <v/>
      </c>
      <c r="H43" s="90">
        <f>SUM(E43:G43)*0.08</f>
        <v/>
      </c>
      <c r="I43" s="88">
        <f>AB15</f>
        <v/>
      </c>
      <c r="J43" s="88">
        <f>IF(I15=0,0,VLOOKUP(#REF!,$B$6:$I$26,8,0))</f>
        <v/>
      </c>
      <c r="K43" s="89">
        <f>IF(E43+I43&lt;=$K$60,(E43+I43)*J79-J43,IF(E43+I43&lt;=$K$61,(E43+I43)*J80-J43,IF(E43+I43&lt;=$K$62,(E43+I43)*L81-J43,513.0125)))</f>
        <v/>
      </c>
      <c r="L43" s="9" t="n"/>
      <c r="M43" s="17" t="n">
        <v>0</v>
      </c>
      <c r="N43" s="17" t="n">
        <v>99.19</v>
      </c>
      <c r="O43" s="17" t="n">
        <v>0</v>
      </c>
      <c r="P43" s="17" t="n">
        <v>99.2</v>
      </c>
      <c r="Q43" s="17" t="n">
        <v>0</v>
      </c>
      <c r="R43" s="17" t="n">
        <v>99.19</v>
      </c>
      <c r="S43" s="17" t="n">
        <v>45.09</v>
      </c>
      <c r="T43" s="17" t="n">
        <v>0</v>
      </c>
      <c r="U43" s="17" t="n">
        <v>99.19</v>
      </c>
      <c r="V43" s="17" t="n">
        <v>99.2</v>
      </c>
      <c r="W43" s="17" t="n">
        <v>99.2</v>
      </c>
      <c r="X43" s="17" t="n">
        <v>99.2</v>
      </c>
      <c r="Y43" s="17" t="n">
        <v>0</v>
      </c>
      <c r="Z43" s="17" t="n">
        <v>45.09</v>
      </c>
      <c r="AA43" s="17" t="n">
        <v>0</v>
      </c>
      <c r="AB43" s="49">
        <f>SUM(M43:AA43)</f>
        <v/>
      </c>
      <c r="AC43" s="13" t="n"/>
      <c r="AD43" s="13" t="n"/>
      <c r="AE43" s="13" t="n"/>
    </row>
    <row r="44" ht="21" customHeight="1">
      <c r="A44" s="46" t="inlineStr">
        <is>
          <t>FRANCA</t>
        </is>
      </c>
      <c r="B44" s="22" t="inlineStr">
        <is>
          <t>CHAPA_38</t>
        </is>
      </c>
      <c r="C44" s="90">
        <f>AB44</f>
        <v/>
      </c>
      <c r="D44" s="90">
        <f>C44*0.1818</f>
        <v/>
      </c>
      <c r="E44" s="90">
        <f>SUM(C44:D44)</f>
        <v/>
      </c>
      <c r="F44" s="90">
        <f>E44*0.1111</f>
        <v/>
      </c>
      <c r="G44" s="90">
        <f>E44*0.083</f>
        <v/>
      </c>
      <c r="H44" s="90">
        <f>SUM(E44:G44)*0.08</f>
        <v/>
      </c>
      <c r="I44" s="88">
        <f>AB16</f>
        <v/>
      </c>
      <c r="J44" s="88">
        <f>IF(I16=0,0,VLOOKUP(B43,$B$6:$I$26,8,0))</f>
        <v/>
      </c>
      <c r="K44" s="89">
        <f>IF(E44+I44&lt;=$K$60,(E44+I44)*J80-J44,IF(E44+I44&lt;=$K$61,(E44+I44)*J81-J44,IF(E44+I44&lt;=$K$62,(E44+I44)*L82-J44,513.0125)))</f>
        <v/>
      </c>
      <c r="L44" s="9" t="n"/>
      <c r="M44" s="17" t="n">
        <v>0</v>
      </c>
      <c r="N44" s="17" t="n">
        <v>99.19</v>
      </c>
      <c r="O44" s="17" t="n">
        <v>124.56</v>
      </c>
      <c r="P44" s="17" t="n">
        <v>99.2</v>
      </c>
      <c r="Q44" s="17" t="n">
        <v>0</v>
      </c>
      <c r="R44" s="17" t="n">
        <v>99.19</v>
      </c>
      <c r="S44" s="17" t="n">
        <v>45.09</v>
      </c>
      <c r="T44" s="17" t="n">
        <v>0</v>
      </c>
      <c r="U44" s="17" t="n">
        <v>45.08</v>
      </c>
      <c r="V44" s="17" t="n">
        <v>99.2</v>
      </c>
      <c r="W44" s="17" t="n">
        <v>99.2</v>
      </c>
      <c r="X44" s="17" t="n">
        <v>99.2</v>
      </c>
      <c r="Y44" s="17" t="n">
        <v>0</v>
      </c>
      <c r="Z44" s="17" t="n">
        <v>104.26</v>
      </c>
      <c r="AA44" s="17" t="n">
        <v>0</v>
      </c>
      <c r="AB44" s="49">
        <f>SUM(M44:AA44)</f>
        <v/>
      </c>
      <c r="AC44" s="13" t="n"/>
      <c r="AD44" s="13" t="n"/>
      <c r="AE44" s="13" t="n"/>
    </row>
    <row r="45" ht="21" customHeight="1">
      <c r="A45" s="46" t="inlineStr">
        <is>
          <t>FRANCA</t>
        </is>
      </c>
      <c r="B45" s="22" t="inlineStr">
        <is>
          <t>CHAPA_41</t>
        </is>
      </c>
      <c r="C45" s="90">
        <f>AB45</f>
        <v/>
      </c>
      <c r="D45" s="90">
        <f>C45*0.1818</f>
        <v/>
      </c>
      <c r="E45" s="90">
        <f>SUM(C45:D45)</f>
        <v/>
      </c>
      <c r="F45" s="90">
        <f>E45*0.1111</f>
        <v/>
      </c>
      <c r="G45" s="90">
        <f>E45*0.083</f>
        <v/>
      </c>
      <c r="H45" s="90">
        <f>SUM(E45:G45)*0.08</f>
        <v/>
      </c>
      <c r="I45" s="88">
        <f>AB17</f>
        <v/>
      </c>
      <c r="J45" s="88">
        <f>IF(I17=0,0,VLOOKUP(B44,$B$6:$I$26,8,0))</f>
        <v/>
      </c>
      <c r="K45" s="89">
        <f>IF(E45+I45&lt;=$K$60,(E45+I45)*J81-J45,IF(E45+I45&lt;=$K$61,(E45+I45)*J82-J45,IF(E45+I45&lt;=$K$62,(E45+I45)*L83-J45,513.0125)))</f>
        <v/>
      </c>
      <c r="L45" s="9" t="n"/>
      <c r="M45" s="17" t="n">
        <v>0</v>
      </c>
      <c r="N45" s="17" t="n">
        <v>99.19</v>
      </c>
      <c r="O45" s="17" t="n">
        <v>99.19</v>
      </c>
      <c r="P45" s="17" t="n">
        <v>99.2</v>
      </c>
      <c r="Q45" s="17" t="n">
        <v>0</v>
      </c>
      <c r="R45" s="17" t="n">
        <v>99.19</v>
      </c>
      <c r="S45" s="17" t="n">
        <v>45.09</v>
      </c>
      <c r="T45" s="17" t="n">
        <v>0</v>
      </c>
      <c r="U45" s="17" t="n">
        <v>99.19</v>
      </c>
      <c r="V45" s="17" t="n">
        <v>99.2</v>
      </c>
      <c r="W45" s="17" t="n">
        <v>99.2</v>
      </c>
      <c r="X45" s="17" t="n">
        <v>99.2</v>
      </c>
      <c r="Y45" s="17" t="n">
        <v>0</v>
      </c>
      <c r="Z45" s="17" t="n">
        <v>87.34999999999999</v>
      </c>
      <c r="AA45" s="17" t="n">
        <v>0</v>
      </c>
      <c r="AB45" s="49">
        <f>SUM(M45:AA45)</f>
        <v/>
      </c>
      <c r="AC45" s="13" t="n"/>
      <c r="AD45" s="13" t="n"/>
      <c r="AE45" s="13" t="n"/>
    </row>
    <row r="46" ht="21" customHeight="1">
      <c r="A46" s="46" t="inlineStr">
        <is>
          <t>FRANCA</t>
        </is>
      </c>
      <c r="B46" s="22" t="inlineStr">
        <is>
          <t>CHAPA_42</t>
        </is>
      </c>
      <c r="C46" s="90">
        <f>AB46</f>
        <v/>
      </c>
      <c r="D46" s="90">
        <f>C46*0.1818</f>
        <v/>
      </c>
      <c r="E46" s="90">
        <f>SUM(C46:D46)</f>
        <v/>
      </c>
      <c r="F46" s="90">
        <f>E46*0.1111</f>
        <v/>
      </c>
      <c r="G46" s="90">
        <f>E46*0.083</f>
        <v/>
      </c>
      <c r="H46" s="90">
        <f>SUM(E46:G46)*0.08</f>
        <v/>
      </c>
      <c r="I46" s="88">
        <f>AB18</f>
        <v/>
      </c>
      <c r="J46" s="88">
        <f>IF(I18=0,0,VLOOKUP(B46,$B$6:$I$26,8,0))</f>
        <v/>
      </c>
      <c r="K46" s="89">
        <f>IF(E46+I46&lt;=$K$60,(E46+I46)*J82-J46,IF(E46+I46&lt;=$K$61,(E46+I46)*J83-J46,IF(E46+I46&lt;=$K$62,(E46+I46)*L84-J46,513.0125)))</f>
        <v/>
      </c>
      <c r="L46" s="9" t="n"/>
      <c r="M46" s="17" t="n">
        <v>0</v>
      </c>
      <c r="N46" s="17" t="n">
        <v>99.19</v>
      </c>
      <c r="O46" s="17" t="n">
        <v>99.19</v>
      </c>
      <c r="P46" s="17" t="n">
        <v>99.19</v>
      </c>
      <c r="Q46" s="17" t="n">
        <v>0</v>
      </c>
      <c r="R46" s="17" t="n">
        <v>0</v>
      </c>
      <c r="S46" s="17" t="n">
        <v>45.09</v>
      </c>
      <c r="T46" s="17" t="n">
        <v>0</v>
      </c>
      <c r="U46" s="17" t="n">
        <v>99.19</v>
      </c>
      <c r="V46" s="17" t="n">
        <v>99.2</v>
      </c>
      <c r="W46" s="17" t="n">
        <v>99.19</v>
      </c>
      <c r="X46" s="17" t="n">
        <v>99.19</v>
      </c>
      <c r="Y46" s="17" t="n">
        <v>0</v>
      </c>
      <c r="Z46" s="17" t="n">
        <v>45.09</v>
      </c>
      <c r="AA46" s="17" t="n">
        <v>0</v>
      </c>
      <c r="AB46" s="49">
        <f>SUM(M46:AA46)</f>
        <v/>
      </c>
      <c r="AC46" s="13" t="n"/>
      <c r="AD46" s="13" t="n"/>
      <c r="AE46" s="13" t="n"/>
    </row>
    <row r="47" ht="21" customHeight="1">
      <c r="A47" s="46" t="inlineStr">
        <is>
          <t>FRANCA</t>
        </is>
      </c>
      <c r="B47" s="22" t="inlineStr">
        <is>
          <t>CHAPA_43</t>
        </is>
      </c>
      <c r="C47" s="90" t="n">
        <v>0</v>
      </c>
      <c r="D47" s="90">
        <f>C47*0.1818</f>
        <v/>
      </c>
      <c r="E47" s="90">
        <f>SUM(C47:D47)</f>
        <v/>
      </c>
      <c r="F47" s="90">
        <f>E47*0.1111</f>
        <v/>
      </c>
      <c r="G47" s="90">
        <f>E47*0.083</f>
        <v/>
      </c>
      <c r="H47" s="90">
        <f>SUM(E47:G47)*0.08</f>
        <v/>
      </c>
      <c r="I47" s="88">
        <f>AB19</f>
        <v/>
      </c>
      <c r="J47" s="88">
        <f>IF(I19=0,0,VLOOKUP(B41,$B$6:$I$26,8,0))</f>
        <v/>
      </c>
      <c r="K47" s="89">
        <f>IF(E47+I47&lt;=$K$60,(E47+I47)*J83-J47,IF(E47+I47&lt;=$K$61,(E47+I47)*J84-J47,IF(E47+I47&lt;=$K$62,(E47+I47)*L85-J47,513.0125)))</f>
        <v/>
      </c>
      <c r="L47" s="9" t="n"/>
      <c r="M47" s="17" t="n">
        <v>0</v>
      </c>
      <c r="N47" s="17" t="n">
        <v>99.19</v>
      </c>
      <c r="O47" s="17" t="n">
        <v>99.19</v>
      </c>
      <c r="P47" s="17" t="n">
        <v>99.19</v>
      </c>
      <c r="Q47" s="17" t="n">
        <v>0</v>
      </c>
      <c r="R47" s="17" t="n">
        <v>99.19</v>
      </c>
      <c r="S47" s="17" t="n">
        <v>45.08</v>
      </c>
      <c r="T47" s="17" t="n">
        <v>0</v>
      </c>
      <c r="U47" s="17" t="n">
        <v>78.90000000000001</v>
      </c>
      <c r="V47" s="17" t="n">
        <v>99.19</v>
      </c>
      <c r="W47" s="17" t="n">
        <v>99.19</v>
      </c>
      <c r="X47" s="17" t="n">
        <v>0</v>
      </c>
      <c r="Y47" s="17" t="n">
        <v>0</v>
      </c>
      <c r="Z47" s="17" t="n">
        <v>87.34</v>
      </c>
      <c r="AA47" s="17" t="n">
        <v>0</v>
      </c>
      <c r="AB47" s="49">
        <f>SUM(M47:AA47)</f>
        <v/>
      </c>
      <c r="AC47" s="13" t="n"/>
      <c r="AD47" s="13" t="n"/>
      <c r="AE47" s="13" t="n"/>
    </row>
    <row r="48" ht="21" customHeight="1">
      <c r="A48" s="46" t="inlineStr">
        <is>
          <t>FRANCA</t>
        </is>
      </c>
      <c r="B48" s="15" t="inlineStr">
        <is>
          <t>CHAPA_24</t>
        </is>
      </c>
      <c r="C48" s="90">
        <f>AB48</f>
        <v/>
      </c>
      <c r="D48" s="90">
        <f>C48*0.1818</f>
        <v/>
      </c>
      <c r="E48" s="90">
        <f>SUM(C48:D48)</f>
        <v/>
      </c>
      <c r="F48" s="90">
        <f>E48*0.1111</f>
        <v/>
      </c>
      <c r="G48" s="90">
        <f>E48*0.083</f>
        <v/>
      </c>
      <c r="H48" s="90">
        <f>SUM(E48:G48)*0.08</f>
        <v/>
      </c>
      <c r="I48" s="88">
        <f>AB20</f>
        <v/>
      </c>
      <c r="J48" s="88">
        <f>IF(I20=0,0,VLOOKUP(B48,$B$6:$I$26,8,0))</f>
        <v/>
      </c>
      <c r="K48" s="89">
        <f>IF(E48+I48&lt;=$K$60,(E48+I48)*J84-J48,IF(E48+I48&lt;=$K$61,(E48+I48)*J85-J48,IF(E48+I48&lt;=$K$62,(E48+I48)*L86-J48,513.0125)))</f>
        <v/>
      </c>
      <c r="L48" s="9" t="n"/>
      <c r="M48" s="17" t="n">
        <v>0</v>
      </c>
      <c r="N48" s="17" t="n">
        <v>0</v>
      </c>
      <c r="O48" s="17" t="n">
        <v>99.19</v>
      </c>
      <c r="P48" s="17" t="n">
        <v>99.19</v>
      </c>
      <c r="Q48" s="17" t="n">
        <v>0</v>
      </c>
      <c r="R48" s="17" t="n">
        <v>99.19</v>
      </c>
      <c r="S48" s="17" t="n">
        <v>39.45</v>
      </c>
      <c r="T48" s="17" t="n">
        <v>0</v>
      </c>
      <c r="U48" s="102" t="n">
        <v>99.19</v>
      </c>
      <c r="V48" s="17" t="n">
        <v>0</v>
      </c>
      <c r="W48" s="17" t="n">
        <v>99.19</v>
      </c>
      <c r="X48" s="17" t="n">
        <v>99.19</v>
      </c>
      <c r="Y48" s="17" t="n">
        <v>0</v>
      </c>
      <c r="Z48" s="17" t="n">
        <v>45.08</v>
      </c>
      <c r="AA48" s="51" t="n"/>
      <c r="AB48" s="49">
        <f>SUM(M48:AA48)</f>
        <v/>
      </c>
      <c r="AC48" s="13" t="n"/>
      <c r="AD48" s="13" t="n"/>
      <c r="AE48" s="13" t="n"/>
    </row>
    <row r="49" ht="21" customHeight="1">
      <c r="A49" s="46" t="inlineStr">
        <is>
          <t>FRANCA</t>
        </is>
      </c>
      <c r="B49" s="22" t="inlineStr">
        <is>
          <t>CHAPA_21</t>
        </is>
      </c>
      <c r="C49" s="90">
        <f>AB49</f>
        <v/>
      </c>
      <c r="D49" s="90">
        <f>C49*0.1818</f>
        <v/>
      </c>
      <c r="E49" s="90">
        <f>SUM(C49:D49)</f>
        <v/>
      </c>
      <c r="F49" s="90">
        <f>E49*0.1111</f>
        <v/>
      </c>
      <c r="G49" s="90">
        <f>E49*0.083</f>
        <v/>
      </c>
      <c r="H49" s="90">
        <f>SUM(E49:G49)*0.08</f>
        <v/>
      </c>
      <c r="I49" s="88">
        <f>AB21</f>
        <v/>
      </c>
      <c r="J49" s="88">
        <f>IF(I21=0,0,VLOOKUP(B49,$B$6:$I$26,8,0))</f>
        <v/>
      </c>
      <c r="K49" s="89">
        <f>IF(E49+I49&lt;=$K$60,(E49+I49)*J85-J49,IF(E49+I49&lt;=$K$61,(E49+I49)*J86-J49,IF(E49+I49&lt;=$K$62,(E49+I49)*L87-J49,513.0125)))</f>
        <v/>
      </c>
      <c r="L49" s="9" t="n"/>
      <c r="M49" s="17" t="n">
        <v>0</v>
      </c>
      <c r="N49" s="17" t="n">
        <v>0</v>
      </c>
      <c r="O49" s="17" t="n">
        <v>0</v>
      </c>
      <c r="P49" s="17" t="n">
        <v>99.19</v>
      </c>
      <c r="Q49" s="17" t="n">
        <v>0</v>
      </c>
      <c r="R49" s="17" t="n">
        <v>45.08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51" t="n"/>
      <c r="AB49" s="49">
        <f>SUM(M49:AA49)</f>
        <v/>
      </c>
      <c r="AC49" s="13" t="n"/>
      <c r="AD49" s="13" t="n"/>
      <c r="AE49" s="13" t="n"/>
    </row>
    <row r="50" ht="21" customHeight="1">
      <c r="A50" s="46" t="inlineStr">
        <is>
          <t>FRANCA</t>
        </is>
      </c>
      <c r="B50" s="15" t="n"/>
      <c r="C50" s="90">
        <f>AB50</f>
        <v/>
      </c>
      <c r="D50" s="90">
        <f>C50*0.1818</f>
        <v/>
      </c>
      <c r="E50" s="90">
        <f>SUM(C50:D50)</f>
        <v/>
      </c>
      <c r="F50" s="90">
        <f>E50*0.1111</f>
        <v/>
      </c>
      <c r="G50" s="90">
        <f>E50*0.083</f>
        <v/>
      </c>
      <c r="H50" s="90">
        <f>SUM(E50:G50)*0.08</f>
        <v/>
      </c>
      <c r="I50" s="88">
        <f>AB22</f>
        <v/>
      </c>
      <c r="J50" s="88">
        <f>IF(I22=0,0,VLOOKUP(B50,$B$6:$I$26,8,0))</f>
        <v/>
      </c>
      <c r="K50" s="89">
        <f>IF(E50+I50&lt;=$K$60,(E50+I50)*J86-J50,IF(E50+I50&lt;=$K$61,(E50+I50)*J87-J50,IF(E50+I50&lt;=$K$62,(E50+I50)*L88-J50,513.0125)))</f>
        <v/>
      </c>
      <c r="L50" s="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51" t="n"/>
      <c r="AB50" s="49">
        <f>SUM(M50:AA50)</f>
        <v/>
      </c>
      <c r="AC50" s="13" t="n"/>
      <c r="AD50" s="13" t="n"/>
      <c r="AE50" s="13" t="n"/>
    </row>
    <row r="51" ht="21" customHeight="1">
      <c r="A51" s="46" t="inlineStr">
        <is>
          <t>FRANCA</t>
        </is>
      </c>
      <c r="B51" s="91" t="n"/>
      <c r="C51" s="90">
        <f>AB51</f>
        <v/>
      </c>
      <c r="D51" s="90">
        <f>C51*0.1818</f>
        <v/>
      </c>
      <c r="E51" s="90">
        <f>SUM(C51:D51)</f>
        <v/>
      </c>
      <c r="F51" s="90">
        <f>E51*0.1111</f>
        <v/>
      </c>
      <c r="G51" s="90">
        <f>E51*0.083</f>
        <v/>
      </c>
      <c r="H51" s="90">
        <f>SUM(E51:G51)*0.08</f>
        <v/>
      </c>
      <c r="I51" s="88">
        <f>AB23</f>
        <v/>
      </c>
      <c r="J51" s="88">
        <f>IF(I23=0,0,VLOOKUP(B51,$B$6:$I$26,8,0))</f>
        <v/>
      </c>
      <c r="K51" s="89">
        <f>IF(E51+I51&lt;=$K$60,(E51+I51)*J87-J51,IF(E51+I51&lt;=$K$61,(E51+I51)*J88-J51,IF(E51+I51&lt;=$K$62,(E51+I51)*L89-J51,513.0125)))</f>
        <v/>
      </c>
      <c r="L51" s="9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51" t="n"/>
      <c r="X51" s="51" t="n"/>
      <c r="Y51" s="51" t="n"/>
      <c r="Z51" s="51" t="n"/>
      <c r="AA51" s="51" t="n"/>
      <c r="AB51" s="49">
        <f>SUM(M51:AA51)</f>
        <v/>
      </c>
      <c r="AC51" s="13" t="n"/>
      <c r="AD51" s="13" t="n"/>
      <c r="AE51" s="13" t="n"/>
    </row>
    <row r="52" ht="21" customHeight="1">
      <c r="A52" s="46" t="inlineStr">
        <is>
          <t>FRANCA</t>
        </is>
      </c>
      <c r="B52" s="15" t="n"/>
      <c r="C52" s="90">
        <f>AB52</f>
        <v/>
      </c>
      <c r="D52" s="90">
        <f>C52*0.1818</f>
        <v/>
      </c>
      <c r="E52" s="90">
        <f>SUM(C52:D52)</f>
        <v/>
      </c>
      <c r="F52" s="90">
        <f>E52*0.1111</f>
        <v/>
      </c>
      <c r="G52" s="90">
        <f>E52*0.083</f>
        <v/>
      </c>
      <c r="H52" s="90">
        <f>SUM(E52:G52)*0.08</f>
        <v/>
      </c>
      <c r="I52" s="88">
        <f>AB24</f>
        <v/>
      </c>
      <c r="J52" s="88">
        <f>IF(I24=0,0,VLOOKUP(B52,$B$6:$I$26,8,0))</f>
        <v/>
      </c>
      <c r="K52" s="89">
        <f>IF(E52+I52&lt;=$K$60,(E52+I52)*J88-J52,IF(E52+I52&lt;=$K$61,(E52+I52)*J89-J52,IF(E52+I52&lt;=$K$62,(E52+I52)*L90-J52,513.0125)))</f>
        <v/>
      </c>
      <c r="L52" s="9" t="n"/>
      <c r="M52" s="17" t="n"/>
      <c r="N52" s="17" t="n"/>
      <c r="O52" s="52" t="n"/>
      <c r="P52" s="17" t="n"/>
      <c r="Q52" s="52" t="n"/>
      <c r="R52" s="17" t="n"/>
      <c r="S52" s="17" t="n"/>
      <c r="T52" s="52" t="n"/>
      <c r="U52" s="51" t="n"/>
      <c r="V52" s="51" t="n"/>
      <c r="W52" s="51" t="n"/>
      <c r="X52" s="51" t="n"/>
      <c r="Y52" s="51" t="n"/>
      <c r="Z52" s="51" t="n"/>
      <c r="AA52" s="51" t="n"/>
      <c r="AB52" s="49">
        <f>SUM(M52:AA52)</f>
        <v/>
      </c>
      <c r="AC52" s="13" t="n"/>
      <c r="AD52" s="13" t="n"/>
      <c r="AE52" s="13" t="n"/>
    </row>
    <row r="53" ht="21" customHeight="1">
      <c r="A53" s="46" t="inlineStr">
        <is>
          <t>FRANCA</t>
        </is>
      </c>
      <c r="B53" s="15" t="n"/>
      <c r="C53" s="90">
        <f>AB53</f>
        <v/>
      </c>
      <c r="D53" s="90">
        <f>C53*0.1818</f>
        <v/>
      </c>
      <c r="E53" s="90">
        <f>SUM(C53:D53)</f>
        <v/>
      </c>
      <c r="F53" s="90">
        <f>E53*0.1111</f>
        <v/>
      </c>
      <c r="G53" s="90">
        <f>E53*0.083</f>
        <v/>
      </c>
      <c r="H53" s="90">
        <f>SUM(E53:G53)*0.08</f>
        <v/>
      </c>
      <c r="I53" s="88">
        <f>AB25</f>
        <v/>
      </c>
      <c r="J53" s="88">
        <f>IF(I25=0,0,VLOOKUP(B53,$B$6:$I$26,8,0))</f>
        <v/>
      </c>
      <c r="K53" s="89">
        <f>IF(E53+I53&lt;=$K$60,(E53+I53)*J89-J53,IF(E53+I53&lt;=$K$61,(E53+I53)*J90-J53,IF(E53+I53&lt;=$K$62,(E53+I53)*L91-J53,513.0125)))</f>
        <v/>
      </c>
      <c r="L53" s="9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1" t="n"/>
      <c r="V53" s="51" t="n"/>
      <c r="W53" s="51" t="n"/>
      <c r="X53" s="51" t="n"/>
      <c r="Y53" s="51" t="n"/>
      <c r="Z53" s="51" t="n"/>
      <c r="AA53" s="51" t="n"/>
      <c r="AB53" s="49">
        <f>SUM(M53:AA53)</f>
        <v/>
      </c>
      <c r="AC53" s="13" t="n"/>
      <c r="AD53" s="13" t="n"/>
      <c r="AE53" s="13" t="n"/>
    </row>
    <row r="54" ht="21.6" customHeight="1" thickBot="1">
      <c r="A54" s="46" t="inlineStr">
        <is>
          <t>FRANCA</t>
        </is>
      </c>
      <c r="B54" s="53" t="n"/>
      <c r="C54" s="92">
        <f>AB54</f>
        <v/>
      </c>
      <c r="D54" s="92">
        <f>C54*0.1818</f>
        <v/>
      </c>
      <c r="E54" s="92">
        <f>SUM(C54:D54)</f>
        <v/>
      </c>
      <c r="F54" s="92">
        <f>E54*0.1111</f>
        <v/>
      </c>
      <c r="G54" s="92">
        <f>E54*0.083</f>
        <v/>
      </c>
      <c r="H54" s="92">
        <f>SUM(E54:G54)*0.08</f>
        <v/>
      </c>
      <c r="I54" s="93">
        <f>AB26</f>
        <v/>
      </c>
      <c r="J54" s="93">
        <f>IF(I26=0,0,VLOOKUP(B54,$B$6:$I$26,8,0))</f>
        <v/>
      </c>
      <c r="K54" s="94">
        <f>IF(E54+I54&lt;=$K$60,(E54+I54)*J90-J54,IF(E54+I54&lt;=$K$61,(E54+I54)*J91-J54,IF(E54+I54&lt;=$K$62,(E54+I54)*L92-J54,513.0125)))</f>
        <v/>
      </c>
      <c r="L54" s="9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49">
        <f>SUM(M54:AA54)</f>
        <v/>
      </c>
      <c r="AC54" s="13" t="n"/>
      <c r="AD54" s="13" t="n"/>
      <c r="AE54" s="13" t="n"/>
    </row>
    <row r="55" ht="21" customHeight="1" thickBo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28" t="n"/>
      <c r="N55" s="28" t="n">
        <v>29</v>
      </c>
      <c r="O55" s="28">
        <f>COUNT(#REF!)</f>
        <v/>
      </c>
      <c r="P55" s="28">
        <f>COUNT(#REF!)</f>
        <v/>
      </c>
      <c r="Q55" s="28">
        <f>COUNT(#REF!)</f>
        <v/>
      </c>
      <c r="R55" s="28" t="n"/>
      <c r="S55" s="28">
        <f>COUNT(#REF!)</f>
        <v/>
      </c>
      <c r="T55" s="28">
        <f>COUNT(#REF!)</f>
        <v/>
      </c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10" t="n"/>
      <c r="AD55" s="13" t="n"/>
      <c r="AE55" s="13" t="n"/>
    </row>
    <row r="56" ht="21" customHeight="1">
      <c r="L56" s="10" t="n"/>
      <c r="M56" s="29" t="inlineStr">
        <is>
          <t>TOTAL GERAL / BOLETIM ENSACADORES:</t>
        </is>
      </c>
      <c r="N56" s="30" t="n"/>
      <c r="O56" s="30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2" t="inlineStr">
        <is>
          <t>TOTAL:</t>
        </is>
      </c>
      <c r="AD56" s="13" t="n"/>
      <c r="AE56" s="13" t="n"/>
    </row>
    <row r="57" ht="21" customHeight="1">
      <c r="L57" s="10" t="n"/>
      <c r="M57" s="33">
        <f>SUM(M36:M54)</f>
        <v/>
      </c>
      <c r="N57" s="33">
        <f>SUM(N36:N54)</f>
        <v/>
      </c>
      <c r="O57" s="33">
        <f>SUM(O36:O53)</f>
        <v/>
      </c>
      <c r="P57" s="33">
        <f>SUM(P36:P54)</f>
        <v/>
      </c>
      <c r="Q57" s="33">
        <f>SUM(Q36:Q54)</f>
        <v/>
      </c>
      <c r="R57" s="33">
        <f>SUM(R36:R54)</f>
        <v/>
      </c>
      <c r="S57" s="33">
        <f>SUM(S36:S54)</f>
        <v/>
      </c>
      <c r="T57" s="33">
        <f>SUM(T36:T54)</f>
        <v/>
      </c>
      <c r="U57" s="33">
        <f>SUM(U36:U54)</f>
        <v/>
      </c>
      <c r="V57" s="33">
        <f>SUM(V36:V54)</f>
        <v/>
      </c>
      <c r="W57" s="33">
        <f>SUM(W36:W54)</f>
        <v/>
      </c>
      <c r="X57" s="33">
        <f>SUM(X36:X54)</f>
        <v/>
      </c>
      <c r="Y57" s="33">
        <f>SUM(Y36:Y54)</f>
        <v/>
      </c>
      <c r="Z57" s="33">
        <f>SUM(Z36:Z54)</f>
        <v/>
      </c>
      <c r="AA57" s="33">
        <f>SUM(AA36:AA54)</f>
        <v/>
      </c>
      <c r="AB57" s="34" t="n"/>
      <c r="AC57" s="35">
        <f>SUM(M57:AA57)</f>
        <v/>
      </c>
      <c r="AD57" s="13" t="n"/>
    </row>
    <row r="58" ht="20.4" customHeight="1">
      <c r="L58" s="10" t="n"/>
      <c r="AD58" s="13" t="n"/>
    </row>
    <row r="59" ht="21" customHeight="1" thickBot="1">
      <c r="L59" s="10" t="n"/>
      <c r="AD59" s="13" t="n"/>
      <c r="AE59" s="13" t="n"/>
    </row>
    <row r="60" ht="21.6" customHeight="1" thickBot="1">
      <c r="A60" s="64" t="inlineStr">
        <is>
          <t>MÉDIA DIARIA CHAPAS</t>
        </is>
      </c>
      <c r="B60" s="108" t="n"/>
      <c r="C60" s="37" t="n">
        <v>11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13" t="n"/>
      <c r="AE60" s="13" t="n"/>
    </row>
    <row r="61" ht="20.4" customHeight="1"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3" t="n"/>
      <c r="AE61" s="13" t="n"/>
    </row>
    <row r="62" ht="21" customHeight="1">
      <c r="A62" s="95" t="n"/>
      <c r="B62" s="10" t="n"/>
      <c r="C62" s="5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3" t="n"/>
      <c r="AE62" s="13" t="n"/>
    </row>
  </sheetData>
  <mergeCells count="8">
    <mergeCell ref="A34:K34"/>
    <mergeCell ref="A60:B60"/>
    <mergeCell ref="A2:H2"/>
    <mergeCell ref="M34:AC34"/>
    <mergeCell ref="M4:AB4"/>
    <mergeCell ref="A3:I3"/>
    <mergeCell ref="A1:H1"/>
    <mergeCell ref="A4:I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GUILHERME BORGES ROCHA</dc:creator>
  <dcterms:created xmlns:dcterms="http://purl.org/dc/terms/" xmlns:xsi="http://www.w3.org/2001/XMLSchema-instance" xsi:type="dcterms:W3CDTF">2026-09-22T19:57:34Z</dcterms:created>
  <dcterms:modified xmlns:dcterms="http://purl.org/dc/terms/" xmlns:xsi="http://www.w3.org/2001/XMLSchema-instance" xsi:type="dcterms:W3CDTF">2026-09-27T23:59:26Z</dcterms:modified>
  <cp:lastModifiedBy>GUILHERME BORGES ROCHA</cp:lastModifiedBy>
</cp:coreProperties>
</file>