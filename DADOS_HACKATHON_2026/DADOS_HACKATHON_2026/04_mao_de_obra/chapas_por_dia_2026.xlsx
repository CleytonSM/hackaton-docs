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8" autoFilterDateGrouping="1"/>
  </bookViews>
  <sheets>
    <sheet xmlns:r="http://schemas.openxmlformats.org/officeDocument/2006/relationships" name="JANEIRO 2026" sheetId="1" state="visible" r:id="rId1"/>
    <sheet xmlns:r="http://schemas.openxmlformats.org/officeDocument/2006/relationships" name="FEVEREIRO 2026" sheetId="2" state="visible" r:id="rId2"/>
    <sheet xmlns:r="http://schemas.openxmlformats.org/officeDocument/2006/relationships" name="MARÇO 2026" sheetId="3" state="visible" r:id="rId3"/>
    <sheet xmlns:r="http://schemas.openxmlformats.org/officeDocument/2006/relationships" name="ABRIL 2026" sheetId="4" state="visible" r:id="rId4"/>
    <sheet xmlns:r="http://schemas.openxmlformats.org/officeDocument/2006/relationships" name="MAIO 2026" sheetId="5" state="visible" r:id="rId5"/>
    <sheet xmlns:r="http://schemas.openxmlformats.org/officeDocument/2006/relationships" name="JUNHO 2026" sheetId="6" state="visible" r:id="rId6"/>
    <sheet xmlns:r="http://schemas.openxmlformats.org/officeDocument/2006/relationships" name="JULHO 2027" sheetId="7" state="visible" r:id="rId7"/>
    <sheet xmlns:r="http://schemas.openxmlformats.org/officeDocument/2006/relationships" name="AGOSTO 2027" sheetId="8" state="visible" r:id="rId8"/>
    <sheet xmlns:r="http://schemas.openxmlformats.org/officeDocument/2006/relationships" name="Planilha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;[Red]\-#,##0.00\ "/>
    <numFmt numFmtId="165" formatCode="#,##0_ ;[Red]\-#,##0\ 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indexed="8"/>
      <sz val="14"/>
    </font>
    <font>
      <name val="Arial"/>
      <family val="2"/>
      <color indexed="8"/>
      <sz val="11"/>
    </font>
    <font>
      <name val="Arial"/>
      <family val="2"/>
      <b val="1"/>
      <color indexed="8"/>
      <sz val="16"/>
    </font>
    <font>
      <name val="Arial"/>
      <family val="2"/>
      <color indexed="8"/>
      <sz val="16"/>
    </font>
    <font>
      <name val="Arial"/>
      <family val="2"/>
      <b val="1"/>
      <i val="1"/>
      <color indexed="8"/>
      <sz val="16"/>
    </font>
    <font>
      <name val="Arial"/>
      <family val="2"/>
      <sz val="16"/>
    </font>
    <font>
      <name val="Calibri"/>
      <family val="2"/>
      <color theme="1"/>
      <sz val="16"/>
      <scheme val="minor"/>
    </font>
    <font>
      <name val="Arial"/>
      <family val="2"/>
      <color theme="0"/>
      <sz val="16"/>
    </font>
    <font>
      <name val="Arial"/>
      <family val="2"/>
      <color theme="1"/>
      <sz val="16"/>
    </font>
    <font>
      <name val="Arial"/>
      <family val="2"/>
      <color indexed="9"/>
      <sz val="16"/>
    </font>
    <font>
      <name val="Arial"/>
      <family val="2"/>
      <color indexed="8"/>
      <sz val="18"/>
    </font>
    <font>
      <name val="Arial"/>
      <family val="2"/>
      <b val="1"/>
      <color indexed="8"/>
      <sz val="18"/>
    </font>
    <font>
      <name val="Calibri"/>
      <family val="2"/>
      <color theme="1"/>
      <sz val="20"/>
      <scheme val="minor"/>
    </font>
  </fonts>
  <fills count="8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2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3" fillId="3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4" fillId="0" borderId="0" pivotButton="0" quotePrefix="0" xfId="0"/>
    <xf numFmtId="16" fontId="3" fillId="0" borderId="10" applyAlignment="1" pivotButton="0" quotePrefix="0" xfId="0">
      <alignment horizontal="center"/>
    </xf>
    <xf numFmtId="16" fontId="3" fillId="0" borderId="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164" fontId="2" fillId="0" borderId="0" pivotButton="0" quotePrefix="0" xfId="0"/>
    <xf numFmtId="164" fontId="0" fillId="0" borderId="0" pivotButton="0" quotePrefix="0" xfId="0"/>
    <xf numFmtId="0" fontId="3" fillId="0" borderId="12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164" fontId="4" fillId="0" borderId="13" pivotButton="0" quotePrefix="0" xfId="0"/>
    <xf numFmtId="2" fontId="4" fillId="0" borderId="14" applyAlignment="1" pivotButton="0" quotePrefix="0" xfId="0">
      <alignment horizontal="center"/>
    </xf>
    <xf numFmtId="2" fontId="3" fillId="0" borderId="14" applyAlignment="1" pivotButton="0" quotePrefix="0" xfId="0">
      <alignment horizontal="center"/>
    </xf>
    <xf numFmtId="164" fontId="7" fillId="0" borderId="0" pivotButton="0" quotePrefix="0" xfId="0"/>
    <xf numFmtId="0" fontId="4" fillId="0" borderId="0" applyAlignment="1" pivotButton="0" quotePrefix="0" xfId="0">
      <alignment horizontal="left"/>
    </xf>
    <xf numFmtId="0" fontId="8" fillId="4" borderId="0" applyAlignment="1" pivotButton="0" quotePrefix="0" xfId="0">
      <alignment horizontal="left" vertical="center"/>
    </xf>
    <xf numFmtId="2" fontId="9" fillId="3" borderId="14" applyAlignment="1" pivotButton="0" quotePrefix="0" xfId="0">
      <alignment horizontal="center"/>
    </xf>
    <xf numFmtId="2" fontId="8" fillId="4" borderId="14" applyAlignment="1" pivotButton="0" quotePrefix="0" xfId="0">
      <alignment horizontal="center"/>
    </xf>
    <xf numFmtId="0" fontId="9" fillId="0" borderId="0" pivotButton="0" quotePrefix="0" xfId="0"/>
    <xf numFmtId="0" fontId="3" fillId="0" borderId="4" applyAlignment="1" pivotButton="0" quotePrefix="0" xfId="0">
      <alignment horizontal="center"/>
    </xf>
    <xf numFmtId="164" fontId="4" fillId="0" borderId="5" pivotButton="0" quotePrefix="0" xfId="0"/>
    <xf numFmtId="164" fontId="4" fillId="0" borderId="6" pivotButton="0" quotePrefix="0" xfId="0"/>
    <xf numFmtId="164" fontId="10" fillId="0" borderId="0" pivotButton="0" quotePrefix="0" xfId="0"/>
    <xf numFmtId="164" fontId="3" fillId="2" borderId="15" pivotButton="0" quotePrefix="0" xfId="0"/>
    <xf numFmtId="164" fontId="3" fillId="2" borderId="16" pivotButton="0" quotePrefix="0" xfId="0"/>
    <xf numFmtId="164" fontId="4" fillId="2" borderId="16" pivotButton="0" quotePrefix="0" xfId="0"/>
    <xf numFmtId="164" fontId="3" fillId="2" borderId="17" pivotButton="0" quotePrefix="0" xfId="0"/>
    <xf numFmtId="164" fontId="3" fillId="0" borderId="19" pivotButton="0" quotePrefix="0" xfId="0"/>
    <xf numFmtId="164" fontId="3" fillId="0" borderId="20" pivotButton="0" quotePrefix="0" xfId="0"/>
    <xf numFmtId="164" fontId="3" fillId="0" borderId="21" pivotButton="0" quotePrefix="0" xfId="0"/>
    <xf numFmtId="164" fontId="3" fillId="2" borderId="7" pivotButton="0" quotePrefix="0" xfId="0"/>
    <xf numFmtId="165" fontId="4" fillId="0" borderId="22" pivotButton="0" quotePrefix="0" xfId="0"/>
    <xf numFmtId="164" fontId="3" fillId="0" borderId="12" pivotButton="0" quotePrefix="0" xfId="0"/>
    <xf numFmtId="2" fontId="5" fillId="2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16" fontId="3" fillId="0" borderId="23" applyAlignment="1" pivotButton="0" quotePrefix="0" xfId="0">
      <alignment horizontal="center"/>
    </xf>
    <xf numFmtId="164" fontId="3" fillId="0" borderId="12" applyAlignment="1" pivotButton="0" quotePrefix="0" xfId="0">
      <alignment horizontal="center"/>
    </xf>
    <xf numFmtId="4" fontId="4" fillId="0" borderId="0" applyAlignment="1" pivotButton="0" quotePrefix="0" xfId="0">
      <alignment vertical="center" wrapText="1"/>
    </xf>
    <xf numFmtId="4" fontId="4" fillId="0" borderId="13" pivotButton="0" quotePrefix="0" xfId="0"/>
    <xf numFmtId="4" fontId="3" fillId="0" borderId="14" applyAlignment="1" pivotButton="0" quotePrefix="0" xfId="0">
      <alignment horizontal="right"/>
    </xf>
    <xf numFmtId="164" fontId="9" fillId="0" borderId="0" pivotButton="0" quotePrefix="0" xfId="0"/>
    <xf numFmtId="4" fontId="4" fillId="0" borderId="0" pivotButton="0" quotePrefix="0" xfId="0"/>
    <xf numFmtId="4" fontId="4" fillId="0" borderId="14" applyAlignment="1" pivotButton="0" quotePrefix="0" xfId="0">
      <alignment horizontal="center" vertical="center"/>
    </xf>
    <xf numFmtId="2" fontId="4" fillId="0" borderId="14" applyAlignment="1" pivotButton="0" quotePrefix="0" xfId="0">
      <alignment horizontal="center" vertical="center"/>
    </xf>
    <xf numFmtId="4" fontId="4" fillId="0" borderId="5" pivotButton="0" quotePrefix="0" xfId="0"/>
    <xf numFmtId="4" fontId="4" fillId="0" borderId="5" applyAlignment="1" pivotButton="0" quotePrefix="0" xfId="0">
      <alignment vertical="center" wrapText="1"/>
    </xf>
    <xf numFmtId="4" fontId="4" fillId="0" borderId="6" pivotButton="0" quotePrefix="0" xfId="0"/>
    <xf numFmtId="164" fontId="11" fillId="0" borderId="14" pivotButton="0" quotePrefix="0" xfId="0"/>
    <xf numFmtId="164" fontId="12" fillId="0" borderId="24" applyAlignment="1" pivotButton="0" quotePrefix="0" xfId="0">
      <alignment horizontal="center"/>
    </xf>
    <xf numFmtId="164" fontId="12" fillId="0" borderId="18" applyAlignment="1" pivotButton="0" quotePrefix="0" xfId="0">
      <alignment horizontal="center"/>
    </xf>
    <xf numFmtId="164" fontId="3" fillId="2" borderId="8" applyAlignment="1" pivotButton="0" quotePrefix="0" xfId="0">
      <alignment horizontal="left"/>
    </xf>
    <xf numFmtId="164" fontId="3" fillId="2" borderId="9" applyAlignment="1" pivotButton="0" quotePrefix="0" xfId="0">
      <alignment horizontal="left"/>
    </xf>
    <xf numFmtId="165" fontId="4" fillId="0" borderId="0" pivotButton="0" quotePrefix="0" xfId="0"/>
    <xf numFmtId="164" fontId="3" fillId="5" borderId="7" applyAlignment="1" pivotButton="0" quotePrefix="0" xfId="0">
      <alignment horizontal="left"/>
    </xf>
    <xf numFmtId="164" fontId="3" fillId="5" borderId="9" applyAlignment="1" pivotButton="0" quotePrefix="0" xfId="0">
      <alignment horizontal="left"/>
    </xf>
    <xf numFmtId="165" fontId="4" fillId="0" borderId="9" pivotButton="0" quotePrefix="0" xfId="0"/>
    <xf numFmtId="164" fontId="3" fillId="0" borderId="0" pivotButton="0" quotePrefix="0" xfId="0"/>
    <xf numFmtId="164" fontId="7" fillId="3" borderId="0" pivotButton="0" quotePrefix="0" xfId="0"/>
    <xf numFmtId="164" fontId="13" fillId="0" borderId="0" pivotButton="0" quotePrefix="0" xfId="0"/>
    <xf numFmtId="0" fontId="3" fillId="0" borderId="14" applyAlignment="1" pivotButton="0" quotePrefix="0" xfId="0">
      <alignment horizontal="center"/>
    </xf>
    <xf numFmtId="164" fontId="9" fillId="0" borderId="14" pivotButton="0" quotePrefix="0" xfId="0"/>
    <xf numFmtId="164" fontId="4" fillId="0" borderId="14" pivotButton="0" quotePrefix="0" xfId="0"/>
    <xf numFmtId="0" fontId="6" fillId="0" borderId="14" applyAlignment="1" pivotButton="0" quotePrefix="0" xfId="0">
      <alignment horizontal="left" vertical="center"/>
    </xf>
    <xf numFmtId="0" fontId="6" fillId="3" borderId="14" applyAlignment="1" pivotButton="0" quotePrefix="0" xfId="0">
      <alignment horizontal="left" vertical="center"/>
    </xf>
    <xf numFmtId="2" fontId="6" fillId="3" borderId="14" applyAlignment="1" pivotButton="0" quotePrefix="0" xfId="0">
      <alignment horizontal="center"/>
    </xf>
    <xf numFmtId="0" fontId="4" fillId="0" borderId="14" applyAlignment="1" pivotButton="0" quotePrefix="0" xfId="0">
      <alignment horizontal="left"/>
    </xf>
    <xf numFmtId="164" fontId="0" fillId="0" borderId="14" pivotButton="0" quotePrefix="0" xfId="0"/>
    <xf numFmtId="0" fontId="9" fillId="0" borderId="14" pivotButton="0" quotePrefix="0" xfId="0"/>
    <xf numFmtId="0" fontId="3" fillId="0" borderId="2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/>
    </xf>
    <xf numFmtId="4" fontId="4" fillId="0" borderId="14" applyAlignment="1" pivotButton="0" quotePrefix="0" xfId="0">
      <alignment vertical="center" wrapText="1"/>
    </xf>
    <xf numFmtId="4" fontId="4" fillId="0" borderId="14" pivotButton="0" quotePrefix="0" xfId="0"/>
    <xf numFmtId="2" fontId="9" fillId="6" borderId="14" applyAlignment="1" pivotButton="0" quotePrefix="0" xfId="0">
      <alignment horizontal="center"/>
    </xf>
    <xf numFmtId="2" fontId="8" fillId="6" borderId="14" applyAlignment="1" pivotButton="0" quotePrefix="0" xfId="0">
      <alignment horizontal="center"/>
    </xf>
    <xf numFmtId="164" fontId="3" fillId="7" borderId="12" pivotButton="0" quotePrefix="0" xfId="0"/>
    <xf numFmtId="164" fontId="4" fillId="7" borderId="0" pivotButton="0" quotePrefix="0" xfId="0"/>
    <xf numFmtId="164" fontId="2" fillId="7" borderId="0" pivotButton="0" quotePrefix="0" xfId="0"/>
    <xf numFmtId="0" fontId="0" fillId="7" borderId="0" pivotButton="0" quotePrefix="0" xfId="0"/>
    <xf numFmtId="0" fontId="5" fillId="2" borderId="14" applyAlignment="1" pivotButton="0" quotePrefix="0" xfId="0">
      <alignment horizontal="center"/>
    </xf>
    <xf numFmtId="16" fontId="3" fillId="0" borderId="1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9" fillId="0" borderId="14" applyAlignment="1" pivotButton="0" quotePrefix="0" xfId="0">
      <alignment horizontal="center"/>
    </xf>
    <xf numFmtId="164" fontId="4" fillId="0" borderId="14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164" fontId="0" fillId="0" borderId="14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3" fillId="2" borderId="15" applyAlignment="1" pivotButton="0" quotePrefix="0" xfId="0">
      <alignment horizontal="center"/>
    </xf>
    <xf numFmtId="164" fontId="3" fillId="2" borderId="16" applyAlignment="1" pivotButton="0" quotePrefix="0" xfId="0">
      <alignment horizontal="center"/>
    </xf>
    <xf numFmtId="164" fontId="3" fillId="2" borderId="25" applyAlignment="1" pivotButton="0" quotePrefix="0" xfId="0">
      <alignment horizontal="center"/>
    </xf>
    <xf numFmtId="164" fontId="3" fillId="2" borderId="17" applyAlignment="1" pivotButton="0" quotePrefix="0" xfId="0">
      <alignment horizontal="center"/>
    </xf>
    <xf numFmtId="164" fontId="3" fillId="0" borderId="19" applyAlignment="1" pivotButton="0" quotePrefix="0" xfId="0">
      <alignment horizontal="center"/>
    </xf>
    <xf numFmtId="164" fontId="3" fillId="0" borderId="20" applyAlignment="1" pivotButton="0" quotePrefix="0" xfId="0">
      <alignment horizontal="center"/>
    </xf>
    <xf numFmtId="164" fontId="3" fillId="0" borderId="21" applyAlignment="1" pivotButton="0" quotePrefix="0" xfId="0">
      <alignment horizontal="center"/>
    </xf>
    <xf numFmtId="164" fontId="3" fillId="2" borderId="7" applyAlignment="1" pivotButton="0" quotePrefix="0" xfId="0">
      <alignment horizontal="center"/>
    </xf>
    <xf numFmtId="165" fontId="4" fillId="0" borderId="22" applyAlignment="1" pivotButton="0" quotePrefix="0" xfId="0">
      <alignment horizontal="center"/>
    </xf>
    <xf numFmtId="4" fontId="4" fillId="0" borderId="14" applyAlignment="1" pivotButton="0" quotePrefix="0" xfId="0">
      <alignment horizontal="center" vertical="center" wrapText="1"/>
    </xf>
    <xf numFmtId="4" fontId="4" fillId="0" borderId="14" applyAlignment="1" pivotButton="0" quotePrefix="0" xfId="0">
      <alignment horizontal="center"/>
    </xf>
    <xf numFmtId="4" fontId="3" fillId="0" borderId="14" applyAlignment="1" pivotButton="0" quotePrefix="0" xfId="0">
      <alignment horizontal="center"/>
    </xf>
    <xf numFmtId="164" fontId="3" fillId="2" borderId="9" applyAlignment="1" pivotButton="0" quotePrefix="0" xfId="0">
      <alignment horizontal="center"/>
    </xf>
    <xf numFmtId="164" fontId="11" fillId="0" borderId="24" applyAlignment="1" pivotButton="0" quotePrefix="0" xfId="0">
      <alignment horizontal="center"/>
    </xf>
    <xf numFmtId="164" fontId="11" fillId="0" borderId="18" applyAlignment="1" pivotButton="0" quotePrefix="0" xfId="0">
      <alignment horizontal="center"/>
    </xf>
    <xf numFmtId="164" fontId="3" fillId="5" borderId="9" applyAlignment="1" pivotButton="0" quotePrefix="0" xfId="0">
      <alignment horizontal="center"/>
    </xf>
    <xf numFmtId="164" fontId="3" fillId="2" borderId="8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4" fontId="3" fillId="5" borderId="7" applyAlignment="1" pivotButton="0" quotePrefix="0" xfId="0">
      <alignment horizontal="center"/>
    </xf>
    <xf numFmtId="165" fontId="4" fillId="0" borderId="9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7" fillId="3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3" fillId="2" borderId="15" applyAlignment="1" pivotButton="0" quotePrefix="0" xfId="0">
      <alignment horizontal="center"/>
    </xf>
    <xf numFmtId="164" fontId="3" fillId="2" borderId="16" applyAlignment="1" pivotButton="0" quotePrefix="0" xfId="0">
      <alignment horizontal="center"/>
    </xf>
    <xf numFmtId="164" fontId="3" fillId="2" borderId="25" applyAlignment="1" pivotButton="0" quotePrefix="0" xfId="0">
      <alignment horizontal="center"/>
    </xf>
    <xf numFmtId="0" fontId="0" fillId="0" borderId="2" pivotButton="0" quotePrefix="0" xfId="0"/>
    <xf numFmtId="0" fontId="0" fillId="0" borderId="5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11" applyAlignment="1" pivotButton="0" quotePrefix="0" xfId="0">
      <alignment horizontal="center"/>
    </xf>
    <xf numFmtId="0" fontId="0" fillId="0" borderId="3" pivotButton="0" quotePrefix="0" xfId="0"/>
    <xf numFmtId="0" fontId="5" fillId="2" borderId="22" applyAlignment="1" pivotButton="0" quotePrefix="0" xfId="0">
      <alignment horizontal="center"/>
    </xf>
    <xf numFmtId="2" fontId="5" fillId="2" borderId="11" applyAlignment="1" pivotButton="0" quotePrefix="0" xfId="0">
      <alignment horizontal="center"/>
    </xf>
    <xf numFmtId="164" fontId="12" fillId="0" borderId="14" applyAlignment="1" pivotButton="0" quotePrefix="0" xfId="0">
      <alignment horizontal="center"/>
    </xf>
    <xf numFmtId="0" fontId="0" fillId="0" borderId="18" pivotButton="0" quotePrefix="0" xfId="0"/>
    <xf numFmtId="0" fontId="0" fillId="0" borderId="28" pivotButton="0" quotePrefix="0" xfId="0"/>
    <xf numFmtId="164" fontId="3" fillId="5" borderId="22" applyAlignment="1" pivotButton="0" quotePrefix="0" xfId="0">
      <alignment horizontal="left"/>
    </xf>
    <xf numFmtId="164" fontId="3" fillId="2" borderId="29" applyAlignment="1" pivotButton="0" quotePrefix="0" xfId="0">
      <alignment horizontal="center"/>
    </xf>
    <xf numFmtId="0" fontId="0" fillId="0" borderId="16" pivotButton="0" quotePrefix="0" xfId="0"/>
    <xf numFmtId="0" fontId="0" fillId="0" borderId="25" pivotButton="0" quotePrefix="0" xfId="0"/>
    <xf numFmtId="164" fontId="11" fillId="0" borderId="14" applyAlignment="1" pivotButton="0" quotePrefix="0" xfId="0">
      <alignment horizontal="center"/>
    </xf>
    <xf numFmtId="164" fontId="3" fillId="5" borderId="2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682683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918210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560070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914400</colOff>
      <row>3</row>
      <rowOff>89535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29740" cy="638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323850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963930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960120</colOff>
      <row>3</row>
      <rowOff>89535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29740" cy="638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960120</colOff>
      <row>3</row>
      <rowOff>89535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29740" cy="638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4"/>
  <sheetViews>
    <sheetView topLeftCell="O52" zoomScale="55" zoomScaleNormal="55" workbookViewId="0">
      <selection activeCell="E29" sqref="E29"/>
    </sheetView>
  </sheetViews>
  <sheetFormatPr baseColWidth="8" defaultColWidth="17.5546875" defaultRowHeight="14.4"/>
  <sheetData>
    <row r="1" ht="30" customHeight="1">
      <c r="A1" s="1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3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</row>
    <row r="2" ht="30" customHeight="1" thickBot="1">
      <c r="A2" s="5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7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</row>
    <row r="4" ht="21.6" customHeight="1" thickBo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" t="n"/>
      <c r="K4" s="11" t="n"/>
      <c r="L4" s="11" t="n"/>
      <c r="M4" s="159" t="inlineStr">
        <is>
          <t>total</t>
        </is>
      </c>
      <c r="N4" s="155" t="n"/>
      <c r="O4" s="155" t="n"/>
      <c r="P4" s="155" t="n"/>
      <c r="Q4" s="155" t="n"/>
      <c r="R4" s="155" t="n"/>
      <c r="S4" s="155" t="n"/>
      <c r="T4" s="155" t="n"/>
      <c r="U4" s="155" t="n"/>
      <c r="V4" s="155" t="n"/>
      <c r="W4" s="155" t="n"/>
      <c r="X4" s="155" t="n"/>
      <c r="Y4" s="155" t="n"/>
      <c r="Z4" s="155" t="n"/>
      <c r="AA4" s="155" t="n"/>
      <c r="AB4" s="155" t="n"/>
      <c r="AC4" s="156" t="n"/>
      <c r="AD4" s="18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 ht="21" customFormat="1" customHeight="1" s="28">
      <c r="A5" s="19" t="inlineStr">
        <is>
          <t>LOCAL</t>
        </is>
      </c>
      <c r="B5" s="20" t="inlineStr">
        <is>
          <t>NOME</t>
        </is>
      </c>
      <c r="C5" s="20" t="inlineStr">
        <is>
          <t>DIÁRIA</t>
        </is>
      </c>
      <c r="D5" s="20" t="inlineStr">
        <is>
          <t>DSR</t>
        </is>
      </c>
      <c r="E5" s="20" t="inlineStr">
        <is>
          <t>TOTAL</t>
        </is>
      </c>
      <c r="F5" s="20" t="inlineStr">
        <is>
          <t>FÉRIAS</t>
        </is>
      </c>
      <c r="G5" s="20" t="inlineStr">
        <is>
          <t>13º SALÁRIO</t>
        </is>
      </c>
      <c r="H5" s="20" t="inlineStr">
        <is>
          <t>FGTS</t>
        </is>
      </c>
      <c r="I5" s="21" t="inlineStr">
        <is>
          <t>INSS</t>
        </is>
      </c>
      <c r="J5" s="22" t="n"/>
      <c r="K5" s="23" t="n"/>
      <c r="L5" s="23" t="n"/>
      <c r="M5" s="24" t="n">
        <v>46023</v>
      </c>
      <c r="N5" s="24" t="n">
        <v>46024</v>
      </c>
      <c r="O5" s="24" t="n">
        <v>46025</v>
      </c>
      <c r="P5" s="24" t="n">
        <v>46026</v>
      </c>
      <c r="Q5" s="24" t="n">
        <v>46027</v>
      </c>
      <c r="R5" s="24" t="n">
        <v>46028</v>
      </c>
      <c r="S5" s="24" t="n">
        <v>46029</v>
      </c>
      <c r="T5" s="24" t="n">
        <v>46030</v>
      </c>
      <c r="U5" s="24" t="n">
        <v>46031</v>
      </c>
      <c r="V5" s="24" t="n">
        <v>46032</v>
      </c>
      <c r="W5" s="24" t="n">
        <v>46033</v>
      </c>
      <c r="X5" s="24" t="n">
        <v>46034</v>
      </c>
      <c r="Y5" s="24" t="n">
        <v>46035</v>
      </c>
      <c r="Z5" s="24" t="n">
        <v>46036</v>
      </c>
      <c r="AA5" s="24" t="n">
        <v>46037</v>
      </c>
      <c r="AB5" s="25" t="n"/>
      <c r="AC5" s="26" t="inlineStr">
        <is>
          <t>TOTAL</t>
        </is>
      </c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</row>
    <row r="6" ht="21" customFormat="1" customHeight="1" s="28">
      <c r="A6" s="29" t="inlineStr">
        <is>
          <t>FRANCA</t>
        </is>
      </c>
      <c r="B6" s="30" t="inlineStr">
        <is>
          <t>CHAPA_08</t>
        </is>
      </c>
      <c r="C6" s="23">
        <f>AC6</f>
        <v/>
      </c>
      <c r="D6" s="23">
        <f>C6*0.1818</f>
        <v/>
      </c>
      <c r="E6" s="23">
        <f>SUM(C6:D6)</f>
        <v/>
      </c>
      <c r="F6" s="23">
        <f>E6*0.1111</f>
        <v/>
      </c>
      <c r="G6" s="23">
        <f>E6*0.083</f>
        <v/>
      </c>
      <c r="H6" s="23">
        <f>SUM(E6:G6)*0.08</f>
        <v/>
      </c>
      <c r="I6" s="31">
        <f>IF(E6&lt;=$F$67,E6*$G$67,IF(E6&lt;=$F$68,E6*$G$68,IF(E6&lt;=$F$69,E6*$G$69,513.0125)))</f>
        <v/>
      </c>
      <c r="J6" s="22" t="n"/>
      <c r="K6" s="23" t="n"/>
      <c r="L6" s="23" t="n"/>
      <c r="M6" s="32" t="n">
        <v>0</v>
      </c>
      <c r="N6" s="32" t="n">
        <v>78.90000000000001</v>
      </c>
      <c r="O6" s="32" t="n">
        <v>0</v>
      </c>
      <c r="P6" s="32" t="n">
        <v>0</v>
      </c>
      <c r="Q6" s="32" t="n">
        <v>0</v>
      </c>
      <c r="R6" s="32" t="n">
        <v>99.2</v>
      </c>
      <c r="S6" s="32" t="n">
        <v>99.19</v>
      </c>
      <c r="T6" s="32" t="n">
        <v>99.19</v>
      </c>
      <c r="U6" s="32" t="n">
        <v>0</v>
      </c>
      <c r="V6" s="32" t="n">
        <v>0</v>
      </c>
      <c r="W6" s="32" t="n">
        <v>0</v>
      </c>
      <c r="X6" s="32" t="n">
        <v>116.25</v>
      </c>
      <c r="Y6" s="32" t="n">
        <v>99.19</v>
      </c>
      <c r="Z6" s="32" t="n">
        <v>99.19</v>
      </c>
      <c r="AA6" s="32" t="n">
        <v>45.08</v>
      </c>
      <c r="AB6" s="32" t="n"/>
      <c r="AC6" s="33">
        <f>SUM(M6:AA6)</f>
        <v/>
      </c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</row>
    <row r="7" ht="21" customFormat="1" customHeight="1" s="28">
      <c r="A7" s="29" t="inlineStr">
        <is>
          <t>FRANCA</t>
        </is>
      </c>
      <c r="B7" s="30" t="inlineStr">
        <is>
          <t>CHAPA_15</t>
        </is>
      </c>
      <c r="C7" s="23">
        <f>AC7</f>
        <v/>
      </c>
      <c r="D7" s="23">
        <f>C7*0.1818</f>
        <v/>
      </c>
      <c r="E7" s="23">
        <f>SUM(C7:D7)</f>
        <v/>
      </c>
      <c r="F7" s="23">
        <f>E7*0.1111</f>
        <v/>
      </c>
      <c r="G7" s="23">
        <f>E7*0.083</f>
        <v/>
      </c>
      <c r="H7" s="23">
        <f>SUM(E7:G7)*0.08</f>
        <v/>
      </c>
      <c r="I7" s="23">
        <f>IF(E7&lt;=$F$67,E7*$G$67,IF(E7&lt;=$F$68,E7*$G$68,IF(E7&lt;=$F$69,E7*$G$69,513.0125)))</f>
        <v/>
      </c>
      <c r="J7" s="22" t="n"/>
      <c r="K7" s="34" t="n"/>
      <c r="L7" s="23" t="n"/>
      <c r="M7" s="32" t="n">
        <v>0</v>
      </c>
      <c r="N7" s="32" t="n">
        <v>0</v>
      </c>
      <c r="O7" s="32" t="n">
        <v>0</v>
      </c>
      <c r="P7" s="32" t="n">
        <v>0</v>
      </c>
      <c r="Q7" s="32" t="n">
        <v>45.09</v>
      </c>
      <c r="R7" s="32" t="n">
        <v>0</v>
      </c>
      <c r="S7" s="32" t="n">
        <v>0</v>
      </c>
      <c r="T7" s="32" t="n">
        <v>99.19</v>
      </c>
      <c r="U7" s="32" t="n">
        <v>153.77</v>
      </c>
      <c r="V7" s="32" t="n">
        <v>45.09</v>
      </c>
      <c r="W7" s="32" t="n">
        <v>0</v>
      </c>
      <c r="X7" s="32" t="n">
        <v>116.26</v>
      </c>
      <c r="Y7" s="32" t="n">
        <v>99.19</v>
      </c>
      <c r="Z7" s="32" t="n">
        <v>99.19</v>
      </c>
      <c r="AA7" s="32" t="n">
        <v>99.2</v>
      </c>
      <c r="AB7" s="32" t="n"/>
      <c r="AC7" s="33">
        <f>SUM(M7:AA7)</f>
        <v/>
      </c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</row>
    <row r="8" ht="21" customFormat="1" customHeight="1" s="28">
      <c r="A8" s="29" t="inlineStr">
        <is>
          <t>FRANCA</t>
        </is>
      </c>
      <c r="B8" s="35" t="inlineStr">
        <is>
          <t>CHAPA_26</t>
        </is>
      </c>
      <c r="C8" s="23">
        <f>AC8</f>
        <v/>
      </c>
      <c r="D8" s="23">
        <f>C8*0.1818</f>
        <v/>
      </c>
      <c r="E8" s="23">
        <f>SUM(C8:D8)</f>
        <v/>
      </c>
      <c r="F8" s="23">
        <f>E8*0.1111</f>
        <v/>
      </c>
      <c r="G8" s="23">
        <f>E8*0.083</f>
        <v/>
      </c>
      <c r="H8" s="23">
        <f>SUM(E8:G8)*0.08</f>
        <v/>
      </c>
      <c r="I8" s="23">
        <f>IF(E8&lt;=$F$67,E8*$G$67,IF(E8&lt;=$F$68,E8*$G$68,IF(E8&lt;=$F$69,E8*$G$69,513.0125)))</f>
        <v/>
      </c>
      <c r="J8" s="22" t="n"/>
      <c r="K8" s="23" t="n"/>
      <c r="L8" s="23" t="n"/>
      <c r="M8" s="32" t="n">
        <v>0</v>
      </c>
      <c r="N8" s="32" t="n">
        <v>99.2</v>
      </c>
      <c r="O8" s="32" t="n">
        <v>0</v>
      </c>
      <c r="P8" s="32" t="n">
        <v>0</v>
      </c>
      <c r="Q8" s="32" t="n">
        <v>99.2</v>
      </c>
      <c r="R8" s="32" t="n">
        <v>99.2</v>
      </c>
      <c r="S8" s="32" t="n">
        <v>99.2</v>
      </c>
      <c r="T8" s="32" t="n">
        <v>99.19</v>
      </c>
      <c r="U8" s="32" t="n">
        <v>153.78</v>
      </c>
      <c r="V8" s="32" t="n">
        <v>45.09</v>
      </c>
      <c r="W8" s="32" t="n">
        <v>0</v>
      </c>
      <c r="X8" s="32" t="n">
        <v>116.26</v>
      </c>
      <c r="Y8" s="32" t="n">
        <v>99.2</v>
      </c>
      <c r="Z8" s="32" t="n">
        <v>99.19</v>
      </c>
      <c r="AA8" s="32" t="n">
        <v>99.19</v>
      </c>
      <c r="AB8" s="32" t="n"/>
      <c r="AC8" s="33">
        <f>SUM(M8:AA8)</f>
        <v/>
      </c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</row>
    <row r="9" ht="21" customFormat="1" customHeight="1" s="28">
      <c r="A9" s="29" t="inlineStr">
        <is>
          <t>FRANCA</t>
        </is>
      </c>
      <c r="B9" s="35" t="inlineStr">
        <is>
          <t>CHAPA_31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2" t="n"/>
      <c r="K9" s="23" t="n"/>
      <c r="L9" s="23" t="n"/>
      <c r="M9" s="32" t="n">
        <v>0</v>
      </c>
      <c r="N9" s="32" t="n">
        <v>99.2</v>
      </c>
      <c r="O9" s="32" t="n">
        <v>45.09</v>
      </c>
      <c r="P9" s="32" t="n">
        <v>0</v>
      </c>
      <c r="Q9" s="32" t="n">
        <v>99.2</v>
      </c>
      <c r="R9" s="32" t="n">
        <v>45.09</v>
      </c>
      <c r="S9" s="32" t="n">
        <v>99.2</v>
      </c>
      <c r="T9" s="32" t="n">
        <v>99.19</v>
      </c>
      <c r="U9" s="32" t="n">
        <v>153.78</v>
      </c>
      <c r="V9" s="32" t="n">
        <v>45.09</v>
      </c>
      <c r="W9" s="32" t="n">
        <v>0</v>
      </c>
      <c r="X9" s="32" t="n">
        <v>116.26</v>
      </c>
      <c r="Y9" s="32" t="n">
        <v>99.19</v>
      </c>
      <c r="Z9" s="32" t="n">
        <v>99.19</v>
      </c>
      <c r="AA9" s="32" t="n">
        <v>99.19</v>
      </c>
      <c r="AB9" s="32" t="n"/>
      <c r="AC9" s="33">
        <f>SUM(M9:AA9)</f>
        <v/>
      </c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</row>
    <row r="10" ht="21" customFormat="1" customHeight="1" s="28">
      <c r="A10" s="29" t="inlineStr">
        <is>
          <t>FRANCA</t>
        </is>
      </c>
      <c r="B10" s="35" t="inlineStr">
        <is>
          <t>CHAPA_37</t>
        </is>
      </c>
      <c r="C10" s="23">
        <f>AC10</f>
        <v/>
      </c>
      <c r="D10" s="23">
        <f>C10*0.1818</f>
        <v/>
      </c>
      <c r="E10" s="23">
        <f>SUM(C10:D10)</f>
        <v/>
      </c>
      <c r="F10" s="23">
        <f>E10*0.1111</f>
        <v/>
      </c>
      <c r="G10" s="23">
        <f>E10*0.083</f>
        <v/>
      </c>
      <c r="H10" s="23">
        <f>SUM(E10:G10)*0.08</f>
        <v/>
      </c>
      <c r="I10" s="23">
        <f>IF(E10&lt;=$F$67,E10*$G$67,IF(E10&lt;=$F$68,E10*$G$68,IF(E10&lt;=$F$69,E10*$G$69,513.0125)))</f>
        <v/>
      </c>
      <c r="J10" s="22" t="n"/>
      <c r="K10" s="23" t="n"/>
      <c r="L10" s="23" t="n"/>
      <c r="M10" s="32" t="n">
        <v>0</v>
      </c>
      <c r="N10" s="32" t="n">
        <v>99.19</v>
      </c>
      <c r="O10" s="32" t="n">
        <v>0</v>
      </c>
      <c r="P10" s="32" t="n">
        <v>0</v>
      </c>
      <c r="Q10" s="32" t="n">
        <v>0</v>
      </c>
      <c r="R10" s="32" t="n">
        <v>99.19</v>
      </c>
      <c r="S10" s="32" t="n">
        <v>99.19</v>
      </c>
      <c r="T10" s="32" t="n">
        <v>99.19</v>
      </c>
      <c r="U10" s="32" t="n">
        <v>153.78</v>
      </c>
      <c r="V10" s="32" t="n">
        <v>0</v>
      </c>
      <c r="W10" s="32" t="n">
        <v>0</v>
      </c>
      <c r="X10" s="32" t="n">
        <v>116.26</v>
      </c>
      <c r="Y10" s="32" t="n">
        <v>99.19</v>
      </c>
      <c r="Z10" s="32" t="n">
        <v>28.18</v>
      </c>
      <c r="AA10" s="32" t="n">
        <v>99.2</v>
      </c>
      <c r="AB10" s="32" t="n"/>
      <c r="AC10" s="33">
        <f>SUM(M10:AA10)</f>
        <v/>
      </c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</row>
    <row r="11" ht="21" customFormat="1" customHeight="1" s="28">
      <c r="A11" s="29" t="inlineStr">
        <is>
          <t>FRANCA</t>
        </is>
      </c>
      <c r="B11" s="30" t="inlineStr">
        <is>
          <t>CHAPA_38</t>
        </is>
      </c>
      <c r="C11" s="23">
        <f>AC11</f>
        <v/>
      </c>
      <c r="D11" s="23">
        <f>C11*0.1818</f>
        <v/>
      </c>
      <c r="E11" s="23">
        <f>SUM(C11:D11)</f>
        <v/>
      </c>
      <c r="F11" s="23">
        <f>E11*0.1111</f>
        <v/>
      </c>
      <c r="G11" s="23">
        <f>E11*0.083</f>
        <v/>
      </c>
      <c r="H11" s="23">
        <f>SUM(E11:G11)*0.08</f>
        <v/>
      </c>
      <c r="I11" s="23">
        <f>IF(E11&lt;=$F$67,E11*$G$67,IF(E11&lt;=$F$68,E11*$G$68,IF(E11&lt;=$F$69,E11*$G$69,513.0125)))</f>
        <v/>
      </c>
      <c r="J11" s="22" t="n"/>
      <c r="K11" s="23" t="n"/>
      <c r="L11" s="23" t="n"/>
      <c r="M11" s="32" t="n">
        <v>0</v>
      </c>
      <c r="N11" s="32" t="n">
        <v>99.19</v>
      </c>
      <c r="O11" s="32" t="n">
        <v>45.09</v>
      </c>
      <c r="P11" s="32" t="n">
        <v>0</v>
      </c>
      <c r="Q11" s="32" t="n">
        <v>99.19</v>
      </c>
      <c r="R11" s="32" t="n">
        <v>99.19</v>
      </c>
      <c r="S11" s="32" t="n">
        <v>99.19</v>
      </c>
      <c r="T11" s="32" t="n">
        <v>99.19</v>
      </c>
      <c r="U11" s="32" t="n">
        <v>153.78</v>
      </c>
      <c r="V11" s="32" t="n">
        <v>45.09</v>
      </c>
      <c r="W11" s="32" t="n">
        <v>0</v>
      </c>
      <c r="X11" s="32" t="n">
        <v>116.26</v>
      </c>
      <c r="Y11" s="32" t="n">
        <v>116.09</v>
      </c>
      <c r="Z11" s="32" t="n">
        <v>99.19</v>
      </c>
      <c r="AA11" s="32" t="n">
        <v>107.54</v>
      </c>
      <c r="AB11" s="32" t="n"/>
      <c r="AC11" s="33">
        <f>SUM(M11:AA11)</f>
        <v/>
      </c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</row>
    <row r="12" ht="21" customFormat="1" customHeight="1" s="28">
      <c r="A12" s="29" t="inlineStr">
        <is>
          <t>FRANCA</t>
        </is>
      </c>
      <c r="B12" s="30" t="inlineStr">
        <is>
          <t>CHAPA_41</t>
        </is>
      </c>
      <c r="C12" s="23">
        <f>AC12</f>
        <v/>
      </c>
      <c r="D12" s="23">
        <f>C12*0.1818</f>
        <v/>
      </c>
      <c r="E12" s="23">
        <f>SUM(C12:D12)</f>
        <v/>
      </c>
      <c r="F12" s="23">
        <f>E12*0.1111</f>
        <v/>
      </c>
      <c r="G12" s="23">
        <f>E12*0.083</f>
        <v/>
      </c>
      <c r="H12" s="23">
        <f>SUM(E12:G12)*0.08</f>
        <v/>
      </c>
      <c r="I12" s="31">
        <f>IF(E12&lt;=$F$67,E12*$G$67,IF(E12&lt;=$F$68,E12*$G$68,IF(E12&lt;=$F$69,E12*$G$69,513.0125)))</f>
        <v/>
      </c>
      <c r="J12" s="22" t="n"/>
      <c r="K12" s="23" t="n"/>
      <c r="L12" s="23" t="n"/>
      <c r="M12" s="32" t="n">
        <v>0</v>
      </c>
      <c r="N12" s="32" t="n">
        <v>99.19</v>
      </c>
      <c r="O12" s="32" t="n">
        <v>45.08</v>
      </c>
      <c r="P12" s="32" t="n">
        <v>0</v>
      </c>
      <c r="Q12" s="32" t="n">
        <v>99.19</v>
      </c>
      <c r="R12" s="32" t="n">
        <v>99.19</v>
      </c>
      <c r="S12" s="32" t="n">
        <v>99.19</v>
      </c>
      <c r="T12" s="32" t="n">
        <v>99.19</v>
      </c>
      <c r="U12" s="32" t="n">
        <v>153.78</v>
      </c>
      <c r="V12" s="32" t="n">
        <v>45.08</v>
      </c>
      <c r="W12" s="32" t="n">
        <v>0</v>
      </c>
      <c r="X12" s="32" t="n">
        <v>116.26</v>
      </c>
      <c r="Y12" s="32" t="n">
        <v>99.2</v>
      </c>
      <c r="Z12" s="32" t="n">
        <v>99.2</v>
      </c>
      <c r="AA12" s="32" t="n">
        <v>99.19</v>
      </c>
      <c r="AB12" s="32" t="n"/>
      <c r="AC12" s="33">
        <f>SUM(M12:AA12)</f>
        <v/>
      </c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</row>
    <row r="13" ht="21" customFormat="1" customHeight="1" s="28">
      <c r="A13" s="29" t="inlineStr">
        <is>
          <t>FRANCA</t>
        </is>
      </c>
      <c r="B13" s="30" t="inlineStr">
        <is>
          <t>CHAPA_42</t>
        </is>
      </c>
      <c r="C13" s="23">
        <f>AC13</f>
        <v/>
      </c>
      <c r="D13" s="23">
        <f>C13*0.1818</f>
        <v/>
      </c>
      <c r="E13" s="23">
        <f>SUM(C13:D13)</f>
        <v/>
      </c>
      <c r="F13" s="23">
        <f>E13*0.1111</f>
        <v/>
      </c>
      <c r="G13" s="23">
        <f>E13*0.083</f>
        <v/>
      </c>
      <c r="H13" s="23">
        <f>SUM(E13:G13)*0.08</f>
        <v/>
      </c>
      <c r="I13" s="31">
        <f>IF(E13&lt;=$F$67,E13*$G$67,IF(E13&lt;=$F$68,E13*$G$68,IF(E13&lt;=$F$69,E13*$G$69,513.0125)))</f>
        <v/>
      </c>
      <c r="J13" s="22" t="n"/>
      <c r="K13" s="23" t="n"/>
      <c r="L13" s="23" t="n"/>
      <c r="M13" s="32" t="n">
        <v>0</v>
      </c>
      <c r="N13" s="32" t="n">
        <v>99.19</v>
      </c>
      <c r="O13" s="32" t="n">
        <v>0</v>
      </c>
      <c r="P13" s="32" t="n">
        <v>0</v>
      </c>
      <c r="Q13" s="32" t="n">
        <v>99.19</v>
      </c>
      <c r="R13" s="32" t="n">
        <v>78.90000000000001</v>
      </c>
      <c r="S13" s="32" t="n">
        <v>0</v>
      </c>
      <c r="T13" s="32" t="n">
        <v>0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32" t="n">
        <v>0</v>
      </c>
      <c r="AA13" s="32" t="n">
        <v>0</v>
      </c>
      <c r="AB13" s="32" t="n"/>
      <c r="AC13" s="33">
        <f>SUM(M13:AA13)</f>
        <v/>
      </c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</row>
    <row r="14" ht="21" customFormat="1" customHeight="1" s="28">
      <c r="A14" s="29" t="inlineStr">
        <is>
          <t>FRANCA</t>
        </is>
      </c>
      <c r="B14" s="30" t="inlineStr">
        <is>
          <t>CHAPA_44</t>
        </is>
      </c>
      <c r="C14" s="23">
        <f>AC14</f>
        <v/>
      </c>
      <c r="D14" s="23">
        <f>C14*0.1818</f>
        <v/>
      </c>
      <c r="E14" s="23">
        <f>SUM(C14:D14)</f>
        <v/>
      </c>
      <c r="F14" s="23">
        <f>E14*0.1111</f>
        <v/>
      </c>
      <c r="G14" s="23">
        <f>E14*0.083</f>
        <v/>
      </c>
      <c r="H14" s="23">
        <f>SUM(E14:G14)*0.08</f>
        <v/>
      </c>
      <c r="I14" s="31">
        <f>IF(E14&lt;=$F$67,E14*$G$67,IF(E14&lt;=$F$68,E14*$G$68,IF(E14&lt;=$F$69,E14*$G$69,513.0125)))</f>
        <v/>
      </c>
      <c r="J14" s="22" t="n"/>
      <c r="K14" s="23" t="n"/>
      <c r="L14" s="23" t="n"/>
      <c r="M14" s="32" t="n">
        <v>0</v>
      </c>
      <c r="N14" s="32" t="n">
        <v>99.19</v>
      </c>
      <c r="O14" s="32" t="n">
        <v>0</v>
      </c>
      <c r="P14" s="32" t="n">
        <v>0</v>
      </c>
      <c r="Q14" s="32" t="n">
        <v>99.19</v>
      </c>
      <c r="R14" s="32" t="n">
        <v>99.19</v>
      </c>
      <c r="S14" s="32" t="n">
        <v>61.99</v>
      </c>
      <c r="T14" s="32" t="n">
        <v>99.19</v>
      </c>
      <c r="U14" s="32" t="n">
        <v>153.77</v>
      </c>
      <c r="V14" s="32" t="n">
        <v>45.08</v>
      </c>
      <c r="W14" s="32" t="n">
        <v>0</v>
      </c>
      <c r="X14" s="32" t="n">
        <v>116.26</v>
      </c>
      <c r="Y14" s="32" t="n">
        <v>99.19</v>
      </c>
      <c r="Z14" s="32" t="n">
        <v>99.2</v>
      </c>
      <c r="AA14" s="32" t="n">
        <v>99.2</v>
      </c>
      <c r="AB14" s="32" t="n"/>
      <c r="AC14" s="33">
        <f>SUM(M14:AA14)</f>
        <v/>
      </c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</row>
    <row r="15" ht="21" customFormat="1" customHeight="1" s="28">
      <c r="A15" s="29" t="inlineStr">
        <is>
          <t>FRANCA</t>
        </is>
      </c>
      <c r="B15" s="36" t="inlineStr">
        <is>
          <t>CHAPA_03 (CAFE)</t>
        </is>
      </c>
      <c r="C15" s="23">
        <f>AC15</f>
        <v/>
      </c>
      <c r="D15" s="23">
        <f>C15*0.1818</f>
        <v/>
      </c>
      <c r="E15" s="23">
        <f>SUM(C15:D15)</f>
        <v/>
      </c>
      <c r="F15" s="23">
        <f>E15*0.1111</f>
        <v/>
      </c>
      <c r="G15" s="23">
        <f>E15*0.083</f>
        <v/>
      </c>
      <c r="H15" s="23">
        <f>SUM(E15:G15)*0.08</f>
        <v/>
      </c>
      <c r="I15" s="31">
        <f>IF(E15&lt;=$F$67,E15*$G$67,IF(E15&lt;=$F$68,E15*$G$68,IF(E15&lt;=$F$69,E15*$G$69,513.0125)))</f>
        <v/>
      </c>
      <c r="J15" s="22" t="n"/>
      <c r="K15" s="23" t="n"/>
      <c r="L15" s="23" t="n"/>
      <c r="M15" s="37" t="n">
        <v>0</v>
      </c>
      <c r="N15" s="37" t="n">
        <v>0</v>
      </c>
      <c r="O15" s="37" t="n">
        <v>0</v>
      </c>
      <c r="P15" s="37" t="n">
        <v>0</v>
      </c>
      <c r="Q15" s="37" t="n">
        <v>0</v>
      </c>
      <c r="R15" s="37" t="n">
        <v>0</v>
      </c>
      <c r="S15" s="37" t="n">
        <v>0</v>
      </c>
      <c r="T15" s="37" t="n">
        <v>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32" t="n">
        <v>0</v>
      </c>
      <c r="AA15" s="32" t="n">
        <v>0</v>
      </c>
      <c r="AB15" s="32" t="n"/>
      <c r="AC15" s="33">
        <f>SUM(M15:AA15)</f>
        <v/>
      </c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</row>
    <row r="16" ht="21" customFormat="1" customHeight="1" s="28">
      <c r="A16" s="29" t="inlineStr">
        <is>
          <t>FRANCA</t>
        </is>
      </c>
      <c r="B16" s="36" t="inlineStr">
        <is>
          <t>CHAPA_17 (CAFE)</t>
        </is>
      </c>
      <c r="C16" s="23">
        <f>AC16</f>
        <v/>
      </c>
      <c r="D16" s="23">
        <f>C16*0.1818</f>
        <v/>
      </c>
      <c r="E16" s="23">
        <f>SUM(C16:D16)</f>
        <v/>
      </c>
      <c r="F16" s="23">
        <f>E16*0.1111</f>
        <v/>
      </c>
      <c r="G16" s="23">
        <f>E16*0.083</f>
        <v/>
      </c>
      <c r="H16" s="23">
        <f>SUM(E16:G16)*0.08</f>
        <v/>
      </c>
      <c r="I16" s="31">
        <f>IF(E16&lt;=$F$67,E16*$G$67,IF(E16&lt;=$F$68,E16*$G$68,IF(E16&lt;=$F$69,E16*$G$69,513.0125)))</f>
        <v/>
      </c>
      <c r="J16" s="22" t="n"/>
      <c r="K16" s="23" t="n"/>
      <c r="L16" s="23" t="n"/>
      <c r="M16" s="38" t="n">
        <v>0</v>
      </c>
      <c r="N16" s="38" t="n">
        <v>0</v>
      </c>
      <c r="O16" s="38" t="n">
        <v>0</v>
      </c>
      <c r="P16" s="38" t="n">
        <v>0</v>
      </c>
      <c r="Q16" s="38" t="n">
        <v>265.19</v>
      </c>
      <c r="R16" s="38" t="n">
        <v>111.02</v>
      </c>
      <c r="S16" s="38" t="n">
        <v>330.65</v>
      </c>
      <c r="T16" s="38" t="n">
        <v>177.79</v>
      </c>
      <c r="U16" s="38" t="n">
        <v>214.6</v>
      </c>
      <c r="V16" s="38" t="n">
        <v>0</v>
      </c>
      <c r="W16" s="38" t="n">
        <v>0</v>
      </c>
      <c r="X16" s="38" t="n">
        <v>111.02</v>
      </c>
      <c r="Y16" s="38" t="n">
        <v>265.15</v>
      </c>
      <c r="Z16" s="38" t="n">
        <v>209.22</v>
      </c>
      <c r="AA16" s="38" t="n">
        <v>261.67</v>
      </c>
      <c r="AB16" s="32" t="n"/>
      <c r="AC16" s="33">
        <f>SUM(M16:AA16)</f>
        <v/>
      </c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</row>
    <row r="17" ht="21" customFormat="1" customHeight="1" s="28">
      <c r="A17" s="29" t="inlineStr">
        <is>
          <t>FRANCA</t>
        </is>
      </c>
      <c r="C17" s="23">
        <f>AC17</f>
        <v/>
      </c>
      <c r="D17" s="23">
        <f>C17*0.1818</f>
        <v/>
      </c>
      <c r="E17" s="23">
        <f>SUM(C17:D17)</f>
        <v/>
      </c>
      <c r="F17" s="23">
        <f>E17*0.1111</f>
        <v/>
      </c>
      <c r="G17" s="23">
        <f>E17*0.083</f>
        <v/>
      </c>
      <c r="H17" s="23">
        <f>SUM(E17:G17)*0.08</f>
        <v/>
      </c>
      <c r="I17" s="31">
        <f>IF(E17&lt;=$F$67,E17*$G$67,IF(E17&lt;=$F$68,E17*$G$68,IF(E17&lt;=$F$69,E17*$G$69,513.0125)))</f>
        <v/>
      </c>
      <c r="J17" s="22" t="n"/>
      <c r="K17" s="23" t="n"/>
      <c r="L17" s="23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SUM(M17:AA17)</f>
        <v/>
      </c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</row>
    <row r="18" ht="21" customFormat="1" customHeight="1" s="28">
      <c r="A18" s="29" t="inlineStr">
        <is>
          <t>FRANCA</t>
        </is>
      </c>
      <c r="C18" s="23">
        <f>AC18</f>
        <v/>
      </c>
      <c r="D18" s="23">
        <f>C18*0.1818</f>
        <v/>
      </c>
      <c r="E18" s="23">
        <f>SUM(C18:D18)</f>
        <v/>
      </c>
      <c r="F18" s="23">
        <f>E18*0.1111</f>
        <v/>
      </c>
      <c r="G18" s="23">
        <f>E18*0.083</f>
        <v/>
      </c>
      <c r="H18" s="23">
        <f>SUM(E18:G18)*0.08</f>
        <v/>
      </c>
      <c r="I18" s="31">
        <f>IF(E18&lt;=$F$67,E18*$G$67,IF(E18&lt;=$F$68,E18*$G$68,IF(E18&lt;=$F$69,E18*$G$69,513.0125)))</f>
        <v/>
      </c>
      <c r="J18" s="22" t="n"/>
      <c r="K18" s="23" t="n"/>
      <c r="L18" s="23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SUM(M18:AA18)</f>
        <v/>
      </c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</row>
    <row r="19" ht="21" customFormat="1" customHeight="1" s="28">
      <c r="A19" s="29" t="inlineStr">
        <is>
          <t>FRANCA</t>
        </is>
      </c>
      <c r="B19" s="30" t="n"/>
      <c r="C19" s="23">
        <f>AC19</f>
        <v/>
      </c>
      <c r="D19" s="23">
        <f>C19*0.1818</f>
        <v/>
      </c>
      <c r="E19" s="23">
        <f>SUM(C19:D19)</f>
        <v/>
      </c>
      <c r="F19" s="23">
        <f>E19*0.1111</f>
        <v/>
      </c>
      <c r="G19" s="23">
        <f>E19*0.083</f>
        <v/>
      </c>
      <c r="H19" s="23">
        <f>SUM(E19:G19)*0.08</f>
        <v/>
      </c>
      <c r="I19" s="31">
        <f>IF(E19&lt;=$F$67,E19*$G$67,IF(E19&lt;=$F$68,E19*$G$68,IF(E19&lt;=$F$69,E19*$G$69,513.0125)))</f>
        <v/>
      </c>
      <c r="J19" s="22" t="n"/>
      <c r="K19" s="23" t="n"/>
      <c r="L19" s="23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SUM(M19:AA19)</f>
        <v/>
      </c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</row>
    <row r="20" ht="21" customFormat="1" customHeight="1" s="28">
      <c r="A20" s="29" t="inlineStr">
        <is>
          <t>FRANCA</t>
        </is>
      </c>
      <c r="B20" s="30" t="n"/>
      <c r="C20" s="23">
        <f>AC20</f>
        <v/>
      </c>
      <c r="D20" s="23">
        <f>C20*0.1818</f>
        <v/>
      </c>
      <c r="E20" s="23">
        <f>SUM(C20:D20)</f>
        <v/>
      </c>
      <c r="F20" s="23">
        <f>E20*0.1111</f>
        <v/>
      </c>
      <c r="G20" s="23">
        <f>E20*0.083</f>
        <v/>
      </c>
      <c r="H20" s="23">
        <f>SUM(E20:G20)*0.08</f>
        <v/>
      </c>
      <c r="I20" s="31">
        <f>IF(E20&lt;=$F$67,E20*$G$67,IF(E20&lt;=$F$68,E20*$G$68,IF(E20&lt;=$F$69,E20*$G$69,513.0125)))</f>
        <v/>
      </c>
      <c r="J20" s="22" t="n"/>
      <c r="K20" s="23" t="n"/>
      <c r="L20" s="23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SUM(M20:AA20)</f>
        <v/>
      </c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</row>
    <row r="21" ht="21" customFormat="1" customHeight="1" s="28">
      <c r="A21" s="29" t="inlineStr">
        <is>
          <t>FRANCA</t>
        </is>
      </c>
      <c r="B21" s="35" t="n"/>
      <c r="C21" s="23">
        <f>AC21</f>
        <v/>
      </c>
      <c r="D21" s="23">
        <f>C21*0.1818</f>
        <v/>
      </c>
      <c r="E21" s="23">
        <f>SUM(C21:D21)</f>
        <v/>
      </c>
      <c r="F21" s="23">
        <f>E21*0.1111</f>
        <v/>
      </c>
      <c r="G21" s="23">
        <f>E21*0.083</f>
        <v/>
      </c>
      <c r="H21" s="23">
        <f>SUM(E21:G21)*0.08</f>
        <v/>
      </c>
      <c r="I21" s="31">
        <f>IF(E21&lt;=$F$67,E21*$G$67,IF(E21&lt;=$F$68,E21*$G$68,IF(E21&lt;=$F$69,E21*$G$69,513.0125)))</f>
        <v/>
      </c>
      <c r="J21" s="22" t="n"/>
      <c r="K21" s="23" t="n"/>
      <c r="L21" s="23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SUM(M21:AA21)</f>
        <v/>
      </c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</row>
    <row r="22" ht="21" customFormat="1" customHeight="1" s="28">
      <c r="A22" s="29" t="inlineStr">
        <is>
          <t>FRANCA</t>
        </is>
      </c>
      <c r="B22" s="35" t="n"/>
      <c r="C22" s="23">
        <f>AC22</f>
        <v/>
      </c>
      <c r="D22" s="23">
        <f>C22*0.1818</f>
        <v/>
      </c>
      <c r="E22" s="23">
        <f>SUM(C22:D22)</f>
        <v/>
      </c>
      <c r="F22" s="23">
        <f>E22*0.1111</f>
        <v/>
      </c>
      <c r="G22" s="23">
        <f>E22*0.083</f>
        <v/>
      </c>
      <c r="H22" s="23">
        <f>SUM(E22:G22)*0.08</f>
        <v/>
      </c>
      <c r="I22" s="31">
        <f>IF(E22&lt;=$F$67,E22*$G$67,IF(E22&lt;=$F$68,E22*$G$68,IF(E22&lt;=$F$69,E22*$G$69,513.0125)))</f>
        <v/>
      </c>
      <c r="J22" s="22" t="n"/>
      <c r="K22" s="23" t="n"/>
      <c r="L22" s="23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SUM(M22:AA22)</f>
        <v/>
      </c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</row>
    <row r="23" ht="21" customFormat="1" customHeight="1" s="28">
      <c r="A23" s="29" t="inlineStr">
        <is>
          <t>FRANCA</t>
        </is>
      </c>
      <c r="B23" s="35" t="n"/>
      <c r="C23" s="23">
        <f>AC23</f>
        <v/>
      </c>
      <c r="D23" s="23">
        <f>C23*0.1818</f>
        <v/>
      </c>
      <c r="E23" s="23">
        <f>SUM(C23:D23)</f>
        <v/>
      </c>
      <c r="F23" s="23">
        <f>E23*0.1111</f>
        <v/>
      </c>
      <c r="G23" s="23">
        <f>E23*0.083</f>
        <v/>
      </c>
      <c r="H23" s="23">
        <f>SUM(E23:G23)*0.08</f>
        <v/>
      </c>
      <c r="I23" s="31">
        <f>IF(E23&lt;=$F$67,E23*$G$67,IF(E23&lt;=$F$68,E23*$G$68,IF(E23&lt;=$F$69,E23*$G$69,513.0125)))</f>
        <v/>
      </c>
      <c r="J23" s="22" t="n"/>
      <c r="K23" s="23" t="n"/>
      <c r="L23" s="23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SUM(M23:AA23)</f>
        <v/>
      </c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</row>
    <row r="24" ht="21" customFormat="1" customHeight="1" s="28">
      <c r="A24" s="29" t="inlineStr">
        <is>
          <t>FRANCA</t>
        </is>
      </c>
      <c r="B24" s="39" t="n"/>
      <c r="C24" s="23">
        <f>AC24</f>
        <v/>
      </c>
      <c r="D24" s="23">
        <f>C24*0.1818</f>
        <v/>
      </c>
      <c r="E24" s="23">
        <f>SUM(C24:D24)</f>
        <v/>
      </c>
      <c r="F24" s="23">
        <f>E24*0.1111</f>
        <v/>
      </c>
      <c r="G24" s="23">
        <f>E24*0.083</f>
        <v/>
      </c>
      <c r="H24" s="23">
        <f>SUM(E24:G24)*0.08</f>
        <v/>
      </c>
      <c r="I24" s="31">
        <f>IF(E24&lt;=$F$67,E24*$G$67,IF(E24&lt;=$F$68,E24*$G$68,IF(E24&lt;=$F$69,E24*$G$69,513.0125)))</f>
        <v/>
      </c>
      <c r="J24" s="22" t="n"/>
      <c r="K24" s="23" t="n"/>
      <c r="L24" s="23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SUM(M24:AA24)</f>
        <v/>
      </c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</row>
    <row r="25" ht="21" customFormat="1" customHeight="1" s="28">
      <c r="A25" s="29" t="inlineStr">
        <is>
          <t>FRANCA</t>
        </is>
      </c>
      <c r="B25" s="35" t="n"/>
      <c r="C25" s="23">
        <f>AC25</f>
        <v/>
      </c>
      <c r="D25" s="23">
        <f>C25*0.1818</f>
        <v/>
      </c>
      <c r="E25" s="23">
        <f>SUM(C25:D25)</f>
        <v/>
      </c>
      <c r="F25" s="23">
        <f>E25*0.1111</f>
        <v/>
      </c>
      <c r="G25" s="23">
        <f>E25*0.083</f>
        <v/>
      </c>
      <c r="H25" s="23">
        <f>SUM(E25:G25)*0.08</f>
        <v/>
      </c>
      <c r="I25" s="31">
        <f>IF(E25&lt;=$F$67,E25*$G$67,IF(E25&lt;=$F$68,E25*$G$68,IF(E25&lt;=$F$69,E25*$G$69,513.0125)))</f>
        <v/>
      </c>
      <c r="J25" s="22" t="n"/>
      <c r="K25" s="23" t="n"/>
      <c r="L25" s="23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SUM(M25:AA25)</f>
        <v/>
      </c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</row>
    <row r="26" ht="21.6" customFormat="1" customHeight="1" s="28" thickBot="1">
      <c r="A26" s="40" t="n"/>
      <c r="B26" s="35" t="n"/>
      <c r="C26" s="41">
        <f>AC26</f>
        <v/>
      </c>
      <c r="D26" s="41">
        <f>C26*0.1818</f>
        <v/>
      </c>
      <c r="E26" s="41">
        <f>SUM(C26:D26)</f>
        <v/>
      </c>
      <c r="F26" s="41">
        <f>E26*0.1111</f>
        <v/>
      </c>
      <c r="G26" s="41">
        <f>E26*0.083</f>
        <v/>
      </c>
      <c r="H26" s="41">
        <f>SUM(E26:G26)*0.08</f>
        <v/>
      </c>
      <c r="I26" s="42">
        <f>IF(E26&lt;=$F$67,E26*$G$67,IF(E26&lt;=$F$68,E26*$G$68,IF(E26&lt;=$F$69,E26*$G$69,513.0125)))</f>
        <v/>
      </c>
      <c r="J26" s="22" t="n"/>
      <c r="K26" s="23" t="n"/>
      <c r="L26" s="23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SUM(M26:AA26)</f>
        <v/>
      </c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</row>
    <row r="27" ht="21" customFormat="1" customHeight="1" s="28" thickBot="1">
      <c r="A27" s="23" t="n"/>
      <c r="B27" s="35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43">
        <f>COUNT(M26:M26)</f>
        <v/>
      </c>
      <c r="N27" s="43">
        <f>COUNT(N26:N26)</f>
        <v/>
      </c>
      <c r="O27" s="43">
        <f>COUNT(O26:O26)</f>
        <v/>
      </c>
      <c r="P27" s="43">
        <f>COUNT(P26:P26)</f>
        <v/>
      </c>
      <c r="Q27" s="43">
        <f>COUNT(Q26:Q26)</f>
        <v/>
      </c>
      <c r="R27" s="43" t="n"/>
      <c r="S27" s="43">
        <f>COUNT(S26:S26)</f>
        <v/>
      </c>
      <c r="T27" s="43">
        <f>COUNT(T26:T26)</f>
        <v/>
      </c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23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</row>
    <row r="28" ht="21.6" customFormat="1" customHeight="1" s="28" thickBot="1">
      <c r="A28" s="51" t="inlineStr">
        <is>
          <t>MÉDIA DIÁRIA CHAPAS</t>
        </is>
      </c>
      <c r="B28" s="51" t="n"/>
      <c r="C28" s="52" t="n">
        <v>11</v>
      </c>
      <c r="J28" s="23" t="n"/>
      <c r="K28" s="23" t="n"/>
      <c r="L28" s="23" t="n"/>
      <c r="M28" s="44" t="inlineStr">
        <is>
          <t>TOTAL GERAL / BOLETIM ENSACADORES:</t>
        </is>
      </c>
      <c r="N28" s="45" t="n"/>
      <c r="O28" s="45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7" t="inlineStr">
        <is>
          <t>TOTAL:</t>
        </is>
      </c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 ht="21" customFormat="1" customHeight="1" s="28">
      <c r="J29" s="23" t="n"/>
      <c r="K29" s="23" t="n"/>
      <c r="L29" s="23" t="n"/>
      <c r="M29" s="48">
        <f>SUM(M6:M26)</f>
        <v/>
      </c>
      <c r="N29" s="48">
        <f>SUM(N6:N26)</f>
        <v/>
      </c>
      <c r="O29" s="48">
        <f>SUM(O6:O26)</f>
        <v/>
      </c>
      <c r="P29" s="48">
        <f>SUM(P6:P26)</f>
        <v/>
      </c>
      <c r="Q29" s="48">
        <f>SUM(Q6:Q26)</f>
        <v/>
      </c>
      <c r="R29" s="48">
        <f>SUM(R6:R26)</f>
        <v/>
      </c>
      <c r="S29" s="48">
        <f>SUM(S6:S26)</f>
        <v/>
      </c>
      <c r="T29" s="48">
        <f>SUM(T6:T26)</f>
        <v/>
      </c>
      <c r="U29" s="48">
        <f>SUM(U6:U26)</f>
        <v/>
      </c>
      <c r="V29" s="48">
        <f>SUM(V6:V26)</f>
        <v/>
      </c>
      <c r="W29" s="48">
        <f>SUM(W6:W26)</f>
        <v/>
      </c>
      <c r="X29" s="48">
        <f>SUM(X6:X26)</f>
        <v/>
      </c>
      <c r="Y29" s="48">
        <f>SUM(Y6:Y26)</f>
        <v/>
      </c>
      <c r="Z29" s="48">
        <f>SUM(Z6:Z26)</f>
        <v/>
      </c>
      <c r="AA29" s="48">
        <f>SUM(AA6:AA26)</f>
        <v/>
      </c>
      <c r="AB29" s="49" t="n"/>
      <c r="AC29" s="49" t="n"/>
      <c r="AD29" s="50">
        <f>SUM(M29:AA29)</f>
        <v/>
      </c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 ht="20.4" customFormat="1" customHeight="1" s="28">
      <c r="J30" s="23" t="n"/>
      <c r="K30" s="23" t="n"/>
      <c r="L30" s="23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 ht="20.4" customFormat="1" customHeight="1" s="28"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 ht="20.4" customFormat="1" customHeight="1" s="2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 ht="21.6" customFormat="1" customHeight="1" s="28" thickBot="1">
      <c r="A33" s="5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 ht="21" customFormat="1" customHeight="1" s="28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4" t="n"/>
      <c r="AF34" s="4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</row>
    <row r="35" ht="21.6" customFormat="1" customHeight="1" s="28" thickBot="1">
      <c r="A35" s="55" t="inlineStr">
        <is>
          <t>LOCAL</t>
        </is>
      </c>
      <c r="B35" s="55" t="inlineStr">
        <is>
          <t>NOME</t>
        </is>
      </c>
      <c r="C35" s="56" t="inlineStr">
        <is>
          <t>DIÁRIA</t>
        </is>
      </c>
      <c r="D35" s="56" t="inlineStr">
        <is>
          <t>DSR</t>
        </is>
      </c>
      <c r="E35" s="56" t="inlineStr">
        <is>
          <t>TOTAL</t>
        </is>
      </c>
      <c r="F35" s="56" t="inlineStr">
        <is>
          <t>FÉRIAS</t>
        </is>
      </c>
      <c r="G35" s="56" t="inlineStr">
        <is>
          <t>13º SALÁRIO</t>
        </is>
      </c>
      <c r="H35" s="56" t="inlineStr">
        <is>
          <t>FGTS</t>
        </is>
      </c>
      <c r="I35" s="57" t="inlineStr">
        <is>
          <t>T. 1º Q.</t>
        </is>
      </c>
      <c r="J35" s="57" t="inlineStr">
        <is>
          <t>INSS 1º</t>
        </is>
      </c>
      <c r="K35" s="58" t="inlineStr">
        <is>
          <t>INSS</t>
        </is>
      </c>
      <c r="L35" s="22" t="n"/>
      <c r="M35" s="59" t="n">
        <v>46038</v>
      </c>
      <c r="N35" s="59" t="n">
        <v>46039</v>
      </c>
      <c r="O35" s="59" t="n">
        <v>46040</v>
      </c>
      <c r="P35" s="59" t="n">
        <v>46041</v>
      </c>
      <c r="Q35" s="59" t="n">
        <v>46042</v>
      </c>
      <c r="R35" s="59" t="n">
        <v>46043</v>
      </c>
      <c r="S35" s="59" t="n">
        <v>46044</v>
      </c>
      <c r="T35" s="59" t="n">
        <v>46045</v>
      </c>
      <c r="U35" s="59" t="n">
        <v>46046</v>
      </c>
      <c r="V35" s="59" t="n">
        <v>46047</v>
      </c>
      <c r="W35" s="59" t="n">
        <v>46048</v>
      </c>
      <c r="X35" s="59" t="n">
        <v>46049</v>
      </c>
      <c r="Y35" s="59" t="n">
        <v>46050</v>
      </c>
      <c r="Z35" s="59" t="n">
        <v>46051</v>
      </c>
      <c r="AA35" s="59" t="n">
        <v>46052</v>
      </c>
      <c r="AB35" s="59" t="n">
        <v>46053</v>
      </c>
      <c r="AC35" s="21" t="inlineStr">
        <is>
          <t>TOTAL</t>
        </is>
      </c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</row>
    <row r="36" ht="21" customFormat="1" customHeight="1" s="28">
      <c r="A36" s="60" t="inlineStr">
        <is>
          <t>FRANCA</t>
        </is>
      </c>
      <c r="B36" s="30" t="inlineStr">
        <is>
          <t>CHAPA_08</t>
        </is>
      </c>
      <c r="C36" s="23">
        <f>AC36</f>
        <v/>
      </c>
      <c r="D36" s="23">
        <f>C36*0.1818</f>
        <v/>
      </c>
      <c r="E36" s="23">
        <f>SUM(C36:D36)</f>
        <v/>
      </c>
      <c r="F36" s="23">
        <f>E36*0.1111</f>
        <v/>
      </c>
      <c r="G36" s="23">
        <f>E36*0.083</f>
        <v/>
      </c>
      <c r="H36" s="23">
        <f>SUM(E36:G36)*0.08</f>
        <v/>
      </c>
      <c r="I36" s="23">
        <f>IF(E36&lt;=$F$67,E36*$G$67,IF(E36&lt;=$F$68,E36*$G$68,IF(E36&lt;=$F$69,E36*$G$69,513.0125)))</f>
        <v/>
      </c>
      <c r="J36" s="61">
        <f>IF(#REF!=0,0,VLOOKUP(B36,$B$6:$I$26,8,0))</f>
        <v/>
      </c>
      <c r="K36" s="62">
        <f>IF(E36+I36&lt;=$K$60,(E36+I36)*J70-J36,IF(E36+I36&lt;=$K$61,(E36+I36)*J71-J36,IF(E36+I36&lt;=$K$62,(E36+I36)*L72-J36,513.0125)))</f>
        <v/>
      </c>
      <c r="L36" s="22" t="n"/>
      <c r="M36" s="32" t="n">
        <v>99.19</v>
      </c>
      <c r="N36" s="32" t="n">
        <v>0</v>
      </c>
      <c r="O36" s="32" t="n">
        <v>0</v>
      </c>
      <c r="P36" s="32" t="n">
        <v>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32" t="n">
        <v>0</v>
      </c>
      <c r="W36" s="32" t="n">
        <v>0</v>
      </c>
      <c r="X36" s="32" t="n">
        <v>0</v>
      </c>
      <c r="Y36" s="32" t="n">
        <v>0</v>
      </c>
      <c r="Z36" s="32" t="n">
        <v>0</v>
      </c>
      <c r="AA36" s="32" t="n">
        <v>0</v>
      </c>
      <c r="AB36" s="32" t="n">
        <v>0</v>
      </c>
      <c r="AC36" s="63">
        <f>SUM(M36:AA36)</f>
        <v/>
      </c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</row>
    <row r="37" ht="21" customFormat="1" customHeight="1" s="28">
      <c r="A37" s="60" t="inlineStr">
        <is>
          <t>FRANCA</t>
        </is>
      </c>
      <c r="B37" s="64" t="inlineStr">
        <is>
          <t>CHAPA_14</t>
        </is>
      </c>
      <c r="C37" s="65">
        <f>AC37</f>
        <v/>
      </c>
      <c r="D37" s="65">
        <f>C37*0.1818</f>
        <v/>
      </c>
      <c r="E37" s="65">
        <f>SUM(C37:D37)</f>
        <v/>
      </c>
      <c r="F37" s="65">
        <f>E37*0.1111</f>
        <v/>
      </c>
      <c r="G37" s="65">
        <f>E37*0.083</f>
        <v/>
      </c>
      <c r="H37" s="65">
        <f>SUM(E37:G37)*0.08</f>
        <v/>
      </c>
      <c r="I37" s="61">
        <f>AC6</f>
        <v/>
      </c>
      <c r="J37" s="61">
        <f>IF(I6=0,0,VLOOKUP(B36,$B$6:$I$26,8,0))</f>
        <v/>
      </c>
      <c r="K37" s="62">
        <f>IF(E37+I37&lt;=$K$60,(E37+I37)*J71-J37,IF(E37+I37&lt;=$K$61,(E37+I37)*J72-J37,IF(E37+I37&lt;=$K$62,(E37+I37)*L73-J37,513.0125)))</f>
        <v/>
      </c>
      <c r="L37" s="22" t="n"/>
      <c r="M37" s="32" t="n">
        <v>0</v>
      </c>
      <c r="N37" s="32" t="n">
        <v>0</v>
      </c>
      <c r="O37" s="32" t="n">
        <v>0</v>
      </c>
      <c r="P37" s="32" t="n">
        <v>99.19</v>
      </c>
      <c r="Q37" s="32" t="n">
        <v>99.19</v>
      </c>
      <c r="R37" s="32" t="n">
        <v>99.19</v>
      </c>
      <c r="S37" s="32" t="n">
        <v>99.19</v>
      </c>
      <c r="T37" s="32" t="n">
        <v>45.08</v>
      </c>
      <c r="U37" s="32" t="n">
        <v>45.08</v>
      </c>
      <c r="V37" s="32" t="n">
        <v>0</v>
      </c>
      <c r="W37" s="32" t="n">
        <v>0</v>
      </c>
      <c r="X37" s="32" t="n">
        <v>134.29</v>
      </c>
      <c r="Y37" s="32" t="n">
        <v>45.08</v>
      </c>
      <c r="Z37" s="32" t="n">
        <v>109.64</v>
      </c>
      <c r="AA37" s="32" t="n">
        <v>99.19</v>
      </c>
      <c r="AB37" s="32" t="n">
        <v>45.09</v>
      </c>
      <c r="AC37" s="63">
        <f>SUM(M37:AA37)</f>
        <v/>
      </c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</row>
    <row r="38" ht="21" customFormat="1" customHeight="1" s="28">
      <c r="A38" s="60" t="inlineStr">
        <is>
          <t>FRANCA</t>
        </is>
      </c>
      <c r="B38" s="30" t="inlineStr">
        <is>
          <t>CHAPA_15</t>
        </is>
      </c>
      <c r="C38" s="23">
        <f>AC38</f>
        <v/>
      </c>
      <c r="D38" s="23">
        <f>C38*0.1818</f>
        <v/>
      </c>
      <c r="E38" s="23">
        <f>SUM(C38:D38)</f>
        <v/>
      </c>
      <c r="F38" s="23">
        <f>E38*0.1111</f>
        <v/>
      </c>
      <c r="G38" s="23">
        <f>E38*0.083</f>
        <v/>
      </c>
      <c r="H38" s="23">
        <f>SUM(E38:G38)*0.08</f>
        <v/>
      </c>
      <c r="I38" s="23">
        <f>IF(E38&lt;=$F$67,E38*$G$67,IF(E38&lt;=$F$68,E38*$G$68,IF(E38&lt;=$F$69,E38*$G$69,513.0125)))</f>
        <v/>
      </c>
      <c r="J38" s="61">
        <f>IF(I8=0,0,VLOOKUP(B38,$B$6:$I$26,8,0))</f>
        <v/>
      </c>
      <c r="K38" s="62">
        <f>IF(E38+I38&lt;=$K$60,(E38+I38)*J72-J38,IF(E38+I38&lt;=$K$61,(E38+I38)*J73-J38,IF(E38+I38&lt;=$K$62,(E38+I38)*L74-J38,513.0125)))</f>
        <v/>
      </c>
      <c r="L38" s="22" t="n"/>
      <c r="M38" s="32" t="n">
        <v>99.19</v>
      </c>
      <c r="N38" s="32" t="n">
        <v>45.08</v>
      </c>
      <c r="O38" s="32" t="n">
        <v>0</v>
      </c>
      <c r="P38" s="32" t="n">
        <v>99.19</v>
      </c>
      <c r="Q38" s="32" t="n">
        <v>99.19</v>
      </c>
      <c r="R38" s="32" t="n">
        <v>99.19</v>
      </c>
      <c r="S38" s="32" t="n">
        <v>99.19</v>
      </c>
      <c r="T38" s="32" t="n">
        <v>45.08</v>
      </c>
      <c r="U38" s="32" t="n">
        <v>45.08</v>
      </c>
      <c r="V38" s="32" t="n">
        <v>0</v>
      </c>
      <c r="W38" s="32" t="n">
        <v>103.34</v>
      </c>
      <c r="X38" s="32" t="n">
        <v>134.29</v>
      </c>
      <c r="Y38" s="32" t="n">
        <v>119.49</v>
      </c>
      <c r="Z38" s="32" t="n">
        <v>109.64</v>
      </c>
      <c r="AA38" s="32" t="n">
        <v>61.99</v>
      </c>
      <c r="AB38" s="32" t="n">
        <v>45.09</v>
      </c>
      <c r="AC38" s="63">
        <f>SUM(M38:AA38)</f>
        <v/>
      </c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</row>
    <row r="39" ht="21" customFormat="1" customHeight="1" s="28">
      <c r="A39" s="60" t="inlineStr">
        <is>
          <t>FRANCA</t>
        </is>
      </c>
      <c r="B39" s="35" t="inlineStr">
        <is>
          <t>CHAPA_26</t>
        </is>
      </c>
      <c r="C39" s="23">
        <f>AC39</f>
        <v/>
      </c>
      <c r="D39" s="23">
        <f>C39*0.1818</f>
        <v/>
      </c>
      <c r="E39" s="23">
        <f>SUM(C39:D39)</f>
        <v/>
      </c>
      <c r="F39" s="23">
        <f>E39*0.1111</f>
        <v/>
      </c>
      <c r="G39" s="23">
        <f>E39*0.083</f>
        <v/>
      </c>
      <c r="H39" s="23">
        <f>SUM(E39:G39)*0.08</f>
        <v/>
      </c>
      <c r="I39" s="23">
        <f>IF(E39&lt;=$F$67,E39*$G$67,IF(E39&lt;=$F$68,E39*$G$68,IF(E39&lt;=$F$69,E39*$G$69,513.0125)))</f>
        <v/>
      </c>
      <c r="J39" s="61">
        <f>IF(I10=0,0,VLOOKUP(B48,$B$6:$I$26,8,0))</f>
        <v/>
      </c>
      <c r="K39" s="62">
        <f>IF(E39+I39&lt;=$K$60,(E39+I39)*J73-J39,IF(E39+I39&lt;=$K$61,(E39+I39)*J74-J39,IF(E39+I39&lt;=$K$62,(E39+I39)*L75-J39,513.0125)))</f>
        <v/>
      </c>
      <c r="L39" s="22" t="n"/>
      <c r="M39" s="32" t="n">
        <v>99.19</v>
      </c>
      <c r="N39" s="32" t="n">
        <v>45.08</v>
      </c>
      <c r="O39" s="32" t="n">
        <v>0</v>
      </c>
      <c r="P39" s="32" t="n">
        <v>99.19</v>
      </c>
      <c r="Q39" s="32" t="n">
        <v>99.19</v>
      </c>
      <c r="R39" s="32" t="n">
        <v>99.19</v>
      </c>
      <c r="S39" s="32" t="n">
        <v>99.19</v>
      </c>
      <c r="T39" s="32" t="n">
        <v>127.16</v>
      </c>
      <c r="U39" s="32" t="n">
        <v>45.09</v>
      </c>
      <c r="V39" s="32" t="n">
        <v>0</v>
      </c>
      <c r="W39" s="32" t="n">
        <v>103.34</v>
      </c>
      <c r="X39" s="32" t="n">
        <v>134.29</v>
      </c>
      <c r="Y39" s="32" t="n">
        <v>119.49</v>
      </c>
      <c r="Z39" s="32" t="n">
        <v>109.64</v>
      </c>
      <c r="AA39" s="32" t="n">
        <v>99.19</v>
      </c>
      <c r="AB39" s="32" t="n">
        <v>45.08</v>
      </c>
      <c r="AC39" s="63">
        <f>SUM(M39:AA39)</f>
        <v/>
      </c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</row>
    <row r="40" ht="21" customFormat="1" customHeight="1" s="28">
      <c r="A40" s="60" t="inlineStr">
        <is>
          <t>FRANCA</t>
        </is>
      </c>
      <c r="B40" s="35" t="inlineStr">
        <is>
          <t>CHAPA_31</t>
        </is>
      </c>
      <c r="C40" s="65">
        <f>AC40</f>
        <v/>
      </c>
      <c r="D40" s="65">
        <f>C40*0.1818</f>
        <v/>
      </c>
      <c r="E40" s="65">
        <f>SUM(C40:D40)</f>
        <v/>
      </c>
      <c r="F40" s="65">
        <f>E40*0.1111</f>
        <v/>
      </c>
      <c r="G40" s="65">
        <f>E40*0.083</f>
        <v/>
      </c>
      <c r="H40" s="65">
        <f>SUM(E40:G40)*0.08</f>
        <v/>
      </c>
      <c r="I40" s="61">
        <f>AC10</f>
        <v/>
      </c>
      <c r="J40" s="61">
        <f>IF(I10=0,0,VLOOKUP(B39,$B$6:$I$26,8,0))</f>
        <v/>
      </c>
      <c r="K40" s="62">
        <f>IF(E40+I40&lt;=$K$60,(E40+I40)*J74-J40,IF(E40+I40&lt;=$K$61,(E40+I40)*J75-J40,IF(E40+I40&lt;=$K$62,(E40+I40)*L76-J40,513.0125)))</f>
        <v/>
      </c>
      <c r="L40" s="22" t="n"/>
      <c r="M40" s="32" t="n">
        <v>67.62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0</v>
      </c>
      <c r="S40" s="32" t="n">
        <v>0</v>
      </c>
      <c r="T40" s="32" t="n">
        <v>0</v>
      </c>
      <c r="U40" s="32" t="n">
        <v>0</v>
      </c>
      <c r="V40" s="32" t="n">
        <v>0</v>
      </c>
      <c r="W40" s="32" t="n">
        <v>0</v>
      </c>
      <c r="X40" s="32" t="n">
        <v>0</v>
      </c>
      <c r="Y40" s="32" t="n">
        <v>0</v>
      </c>
      <c r="Z40" s="32" t="n">
        <v>0</v>
      </c>
      <c r="AA40" s="32" t="n">
        <v>0</v>
      </c>
      <c r="AB40" s="32" t="n">
        <v>0</v>
      </c>
      <c r="AC40" s="63">
        <f>SUM(M40:AA40)</f>
        <v/>
      </c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</row>
    <row r="41" ht="21" customFormat="1" customHeight="1" s="28">
      <c r="A41" s="60" t="inlineStr">
        <is>
          <t>FRANCA</t>
        </is>
      </c>
      <c r="B41" s="35" t="inlineStr">
        <is>
          <t>CHAPA_37</t>
        </is>
      </c>
      <c r="C41" s="23">
        <f>AC41</f>
        <v/>
      </c>
      <c r="D41" s="23">
        <f>C41*0.1818</f>
        <v/>
      </c>
      <c r="E41" s="23">
        <f>SUM(C41:D41)</f>
        <v/>
      </c>
      <c r="F41" s="23">
        <f>E41*0.1111</f>
        <v/>
      </c>
      <c r="G41" s="23">
        <f>E41*0.083</f>
        <v/>
      </c>
      <c r="H41" s="23">
        <f>SUM(E41:G41)*0.08</f>
        <v/>
      </c>
      <c r="I41" s="23">
        <f>IF(E41&lt;=$F$67,E41*$G$67,IF(E41&lt;=$F$68,E41*$G$68,IF(E41&lt;=$F$69,E41*$G$69,513.0125)))</f>
        <v/>
      </c>
      <c r="J41" s="61">
        <f>IF(#REF!=0,0,VLOOKUP(#REF!,$B$6:$I$26,8,0))</f>
        <v/>
      </c>
      <c r="K41" s="62">
        <f>IF(E41+I41&lt;=$K$60,(E41+I41)*J75-J41,IF(E41+I41&lt;=$K$61,(E41+I41)*J76-J41,IF(E41+I41&lt;=$K$62,(E41+I41)*L77-J41,513.0125)))</f>
        <v/>
      </c>
      <c r="L41" s="22" t="n"/>
      <c r="M41" s="32" t="n">
        <v>99.19</v>
      </c>
      <c r="N41" s="32" t="n">
        <v>45.09</v>
      </c>
      <c r="O41" s="32" t="n">
        <v>0</v>
      </c>
      <c r="P41" s="32" t="n">
        <v>99.19</v>
      </c>
      <c r="Q41" s="32" t="n">
        <v>99.19</v>
      </c>
      <c r="R41" s="32" t="n">
        <v>0</v>
      </c>
      <c r="S41" s="32" t="n">
        <v>99.19</v>
      </c>
      <c r="T41" s="32" t="n">
        <v>127.15</v>
      </c>
      <c r="U41" s="32" t="n">
        <v>45.08</v>
      </c>
      <c r="V41" s="32" t="n">
        <v>0</v>
      </c>
      <c r="W41" s="32" t="n">
        <v>0</v>
      </c>
      <c r="X41" s="32" t="n">
        <v>134.29</v>
      </c>
      <c r="Y41" s="32" t="n">
        <v>119.49</v>
      </c>
      <c r="Z41" s="32" t="n">
        <v>109.64</v>
      </c>
      <c r="AA41" s="32" t="n">
        <v>99.19</v>
      </c>
      <c r="AB41" s="32" t="n">
        <v>45.08</v>
      </c>
      <c r="AC41" s="63">
        <f>SUM(M41:AA41)</f>
        <v/>
      </c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</row>
    <row r="42" ht="21" customFormat="1" customHeight="1" s="28">
      <c r="A42" s="60" t="inlineStr">
        <is>
          <t>FRANCA</t>
        </is>
      </c>
      <c r="B42" s="30" t="inlineStr">
        <is>
          <t>CHAPA_38</t>
        </is>
      </c>
      <c r="C42" s="23">
        <f>AC42</f>
        <v/>
      </c>
      <c r="D42" s="23">
        <f>C42*0.1818</f>
        <v/>
      </c>
      <c r="E42" s="23">
        <f>SUM(C42:D42)</f>
        <v/>
      </c>
      <c r="F42" s="23">
        <f>E42*0.1111</f>
        <v/>
      </c>
      <c r="G42" s="23">
        <f>E42*0.083</f>
        <v/>
      </c>
      <c r="H42" s="23">
        <f>SUM(E42:G42)*0.08</f>
        <v/>
      </c>
      <c r="I42" s="23">
        <f>IF(E42&lt;=$F$67,E42*$G$67,IF(E42&lt;=$F$68,E42*$G$68,IF(E42&lt;=$F$69,E42*$G$69,513.0125)))</f>
        <v/>
      </c>
      <c r="J42" s="61">
        <f>IF(I13=0,0,VLOOKUP(#REF!,$B$6:$I$26,8,0))</f>
        <v/>
      </c>
      <c r="K42" s="62">
        <f>IF(E42+I42&lt;=$K$60,(E42+I42)*J77-J42,IF(E42+I42&lt;=$K$61,(E42+I42)*J78-J42,IF(E42+I42&lt;=$K$62,(E42+I42)*L79-J42,513.0125)))</f>
        <v/>
      </c>
      <c r="L42" s="22" t="n"/>
      <c r="M42" s="32" t="n">
        <v>99.19</v>
      </c>
      <c r="N42" s="32" t="n">
        <v>45.09</v>
      </c>
      <c r="O42" s="32" t="n">
        <v>0</v>
      </c>
      <c r="P42" s="32" t="n">
        <v>99.19</v>
      </c>
      <c r="Q42" s="32" t="n">
        <v>99.19</v>
      </c>
      <c r="R42" s="32" t="n">
        <v>99.19</v>
      </c>
      <c r="S42" s="32" t="n">
        <v>99.19</v>
      </c>
      <c r="T42" s="32" t="n">
        <v>127.15</v>
      </c>
      <c r="U42" s="32" t="n">
        <v>95.81</v>
      </c>
      <c r="V42" s="32" t="n">
        <v>0</v>
      </c>
      <c r="W42" s="32" t="n">
        <v>103.34</v>
      </c>
      <c r="X42" s="32" t="n">
        <v>134.29</v>
      </c>
      <c r="Y42" s="32" t="n">
        <v>119.49</v>
      </c>
      <c r="Z42" s="32" t="n">
        <v>109.64</v>
      </c>
      <c r="AA42" s="32" t="n">
        <v>99.19</v>
      </c>
      <c r="AB42" s="32" t="n">
        <v>45.08</v>
      </c>
      <c r="AC42" s="63">
        <f>SUM(M42:AA42)</f>
        <v/>
      </c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</row>
    <row r="43" ht="21" customFormat="1" customHeight="1" s="28">
      <c r="A43" s="60" t="inlineStr">
        <is>
          <t>FRANCA</t>
        </is>
      </c>
      <c r="B43" s="30" t="inlineStr">
        <is>
          <t>CHAPA_41</t>
        </is>
      </c>
      <c r="C43" s="65">
        <f>AC43</f>
        <v/>
      </c>
      <c r="D43" s="65">
        <f>C43*0.1818</f>
        <v/>
      </c>
      <c r="E43" s="65">
        <f>SUM(C43:D43)</f>
        <v/>
      </c>
      <c r="F43" s="65">
        <f>E43*0.1111</f>
        <v/>
      </c>
      <c r="G43" s="65">
        <f>E43*0.083</f>
        <v/>
      </c>
      <c r="H43" s="65">
        <f>SUM(E43:G43)*0.08</f>
        <v/>
      </c>
      <c r="I43" s="61">
        <f>AC15</f>
        <v/>
      </c>
      <c r="J43" s="61">
        <f>IF(I15=0,0,VLOOKUP(#REF!,$B$6:$I$26,8,0))</f>
        <v/>
      </c>
      <c r="K43" s="62">
        <f>IF(E43+I43&lt;=$K$60,(E43+I43)*J79-J43,IF(E43+I43&lt;=$K$61,(E43+I43)*J80-J43,IF(E43+I43&lt;=$K$62,(E43+I43)*L81-J43,513.0125)))</f>
        <v/>
      </c>
      <c r="L43" s="22" t="n"/>
      <c r="M43" s="32" t="n">
        <v>99.2</v>
      </c>
      <c r="N43" s="32" t="n">
        <v>45.09</v>
      </c>
      <c r="O43" s="32" t="n">
        <v>0</v>
      </c>
      <c r="P43" s="32" t="n">
        <v>99.19</v>
      </c>
      <c r="Q43" s="32" t="n">
        <v>99.2</v>
      </c>
      <c r="R43" s="32" t="n">
        <v>99.19</v>
      </c>
      <c r="S43" s="32" t="n">
        <v>99.19</v>
      </c>
      <c r="T43" s="32" t="n">
        <v>127.15</v>
      </c>
      <c r="U43" s="32" t="n">
        <v>45.09</v>
      </c>
      <c r="V43" s="32" t="n">
        <v>0</v>
      </c>
      <c r="W43" s="32" t="n">
        <v>103.34</v>
      </c>
      <c r="X43" s="32" t="n">
        <v>134.29</v>
      </c>
      <c r="Y43" s="32" t="n">
        <v>119.49</v>
      </c>
      <c r="Z43" s="32" t="n">
        <v>109.65</v>
      </c>
      <c r="AA43" s="32" t="n">
        <v>99.19</v>
      </c>
      <c r="AB43" s="32" t="n">
        <v>45.09</v>
      </c>
      <c r="AC43" s="63">
        <f>SUM(M43:AA43)</f>
        <v/>
      </c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</row>
    <row r="44" ht="21" customFormat="1" customHeight="1" s="28">
      <c r="A44" s="60" t="inlineStr">
        <is>
          <t>FRANCA</t>
        </is>
      </c>
      <c r="B44" s="30" t="inlineStr">
        <is>
          <t>CHAPA_42</t>
        </is>
      </c>
      <c r="C44" s="65">
        <f>AC44</f>
        <v/>
      </c>
      <c r="D44" s="65">
        <f>C44*0.1818</f>
        <v/>
      </c>
      <c r="E44" s="65">
        <f>SUM(C44:D44)</f>
        <v/>
      </c>
      <c r="F44" s="65">
        <f>E44*0.1111</f>
        <v/>
      </c>
      <c r="G44" s="65">
        <f>E44*0.083</f>
        <v/>
      </c>
      <c r="H44" s="65">
        <f>SUM(E44:G44)*0.08</f>
        <v/>
      </c>
      <c r="I44" s="61">
        <f>AC16</f>
        <v/>
      </c>
      <c r="J44" s="61">
        <f>IF(I16=0,0,VLOOKUP(B40,$B$6:$I$26,8,0))</f>
        <v/>
      </c>
      <c r="K44" s="62">
        <f>IF(E44+I44&lt;=$K$60,(E44+I44)*J80-J44,IF(E44+I44&lt;=$K$61,(E44+I44)*J81-J44,IF(E44+I44&lt;=$K$62,(E44+I44)*L82-J44,513.0125)))</f>
        <v/>
      </c>
      <c r="L44" s="22" t="n"/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</v>
      </c>
      <c r="AA44" s="32" t="n">
        <v>0</v>
      </c>
      <c r="AB44" s="32" t="n">
        <v>0</v>
      </c>
      <c r="AC44" s="63">
        <f>SUM(M44:AA44)</f>
        <v/>
      </c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</row>
    <row r="45" ht="21" customFormat="1" customHeight="1" s="28">
      <c r="A45" s="60" t="inlineStr">
        <is>
          <t>FRANCA</t>
        </is>
      </c>
      <c r="B45" s="30" t="inlineStr">
        <is>
          <t>CHAPA_43</t>
        </is>
      </c>
      <c r="C45" s="65">
        <f>AC45</f>
        <v/>
      </c>
      <c r="D45" s="65">
        <f>C45*0.1818</f>
        <v/>
      </c>
      <c r="E45" s="65">
        <f>SUM(C45:D45)</f>
        <v/>
      </c>
      <c r="F45" s="65">
        <f>E45*0.1111</f>
        <v/>
      </c>
      <c r="G45" s="65">
        <f>E45*0.083</f>
        <v/>
      </c>
      <c r="H45" s="65">
        <f>SUM(E45:G45)*0.08</f>
        <v/>
      </c>
      <c r="I45" s="61">
        <f>AC17</f>
        <v/>
      </c>
      <c r="J45" s="61">
        <f>IF(I17=0,0,VLOOKUP(B41,$B$6:$I$26,8,0))</f>
        <v/>
      </c>
      <c r="K45" s="62">
        <f>IF(E45+I45&lt;=$K$60,(E45+I45)*J81-J45,IF(E45+I45&lt;=$K$61,(E45+I45)*J82-J45,IF(E45+I45&lt;=$K$62,(E45+I45)*L83-J45,513.0125)))</f>
        <v/>
      </c>
      <c r="L45" s="22" t="n"/>
      <c r="M45" s="32" t="n">
        <v>99.2</v>
      </c>
      <c r="N45" s="32" t="n">
        <v>0</v>
      </c>
      <c r="O45" s="32" t="n">
        <v>0</v>
      </c>
      <c r="P45" s="32" t="n">
        <v>99.2</v>
      </c>
      <c r="Q45" s="32" t="n">
        <v>99.2</v>
      </c>
      <c r="R45" s="32" t="n">
        <v>99.19</v>
      </c>
      <c r="S45" s="32" t="n">
        <v>0</v>
      </c>
      <c r="T45" s="32" t="n">
        <v>127.15</v>
      </c>
      <c r="U45" s="32" t="n">
        <v>45.09</v>
      </c>
      <c r="V45" s="32" t="n">
        <v>0</v>
      </c>
      <c r="W45" s="32" t="n">
        <v>103.34</v>
      </c>
      <c r="X45" s="32" t="n">
        <v>134.29</v>
      </c>
      <c r="Y45" s="32" t="n">
        <v>45.08</v>
      </c>
      <c r="Z45" s="32" t="n">
        <v>109.64</v>
      </c>
      <c r="AA45" s="32" t="n">
        <v>99.19</v>
      </c>
      <c r="AB45" s="32" t="n">
        <v>45.09</v>
      </c>
      <c r="AC45" s="63">
        <f>SUM(M45:AA45)</f>
        <v/>
      </c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</row>
    <row r="46" ht="21" customFormat="1" customHeight="1" s="28">
      <c r="A46" s="60" t="inlineStr">
        <is>
          <t>FRANCA</t>
        </is>
      </c>
      <c r="B46" s="34" t="inlineStr">
        <is>
          <t>CHAPA_46</t>
        </is>
      </c>
      <c r="C46" s="65">
        <f>AC46</f>
        <v/>
      </c>
      <c r="D46" s="65">
        <f>C46*0.1818</f>
        <v/>
      </c>
      <c r="E46" s="65">
        <f>SUM(C46:D46)</f>
        <v/>
      </c>
      <c r="F46" s="65">
        <f>E46*0.1111</f>
        <v/>
      </c>
      <c r="G46" s="65">
        <f>E46*0.083</f>
        <v/>
      </c>
      <c r="H46" s="65">
        <f>SUM(E46:G46)*0.08</f>
        <v/>
      </c>
      <c r="I46" s="61">
        <f>AC18</f>
        <v/>
      </c>
      <c r="J46" s="61">
        <f>IF(I18=0,0,VLOOKUP(B43,$B$6:$I$26,8,0))</f>
        <v/>
      </c>
      <c r="K46" s="62">
        <f>IF(E46+I46&lt;=$K$60,(E46+I46)*J82-J46,IF(E46+I46&lt;=$K$61,(E46+I46)*J83-J46,IF(E46+I46&lt;=$K$62,(E46+I46)*L84-J46,513.0125)))</f>
        <v/>
      </c>
      <c r="L46" s="22" t="n"/>
      <c r="M46" s="32" t="n">
        <v>99.19</v>
      </c>
      <c r="N46" s="32" t="n">
        <v>0</v>
      </c>
      <c r="O46" s="32" t="n">
        <v>0</v>
      </c>
      <c r="P46" s="32" t="n">
        <v>99.2</v>
      </c>
      <c r="Q46" s="32" t="n">
        <v>99.2</v>
      </c>
      <c r="R46" s="32" t="n">
        <v>99.2</v>
      </c>
      <c r="S46" s="32" t="n">
        <v>99.2</v>
      </c>
      <c r="T46" s="32" t="n">
        <v>127.15</v>
      </c>
      <c r="U46" s="32" t="n">
        <v>45.09</v>
      </c>
      <c r="V46" s="32" t="n">
        <v>0</v>
      </c>
      <c r="W46" s="32" t="n">
        <v>103.34</v>
      </c>
      <c r="X46" s="32" t="n">
        <v>134.29</v>
      </c>
      <c r="Y46" s="32" t="n">
        <v>45.09</v>
      </c>
      <c r="Z46" s="32" t="n">
        <v>109.65</v>
      </c>
      <c r="AA46" s="32" t="n">
        <v>99.2</v>
      </c>
      <c r="AB46" s="32" t="n">
        <v>45.09</v>
      </c>
      <c r="AC46" s="63">
        <f>SUM(M46:AA46)</f>
        <v/>
      </c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</row>
    <row r="47" ht="21" customFormat="1" customHeight="1" s="28">
      <c r="A47" s="60" t="inlineStr">
        <is>
          <t>FRANCA</t>
        </is>
      </c>
      <c r="B47" s="30" t="inlineStr">
        <is>
          <t>CHAPA_03</t>
        </is>
      </c>
      <c r="C47" s="65" t="n">
        <v>0</v>
      </c>
      <c r="D47" s="65">
        <f>C47*0.1818</f>
        <v/>
      </c>
      <c r="E47" s="65">
        <f>SUM(C47:D47)</f>
        <v/>
      </c>
      <c r="F47" s="65">
        <f>E47*0.1111</f>
        <v/>
      </c>
      <c r="G47" s="65">
        <f>E47*0.083</f>
        <v/>
      </c>
      <c r="H47" s="65">
        <f>SUM(E47:G47)*0.08</f>
        <v/>
      </c>
      <c r="I47" s="61">
        <f>AC19</f>
        <v/>
      </c>
      <c r="J47" s="61">
        <f>IF(I19=0,0,VLOOKUP(#REF!,$B$6:$I$26,8,0))</f>
        <v/>
      </c>
      <c r="K47" s="62">
        <f>IF(E47+I47&lt;=$K$60,(E47+I47)*J83-J47,IF(E47+I47&lt;=$K$61,(E47+I47)*J84-J47,IF(E47+I47&lt;=$K$62,(E47+I47)*L85-J47,513.0125)))</f>
        <v/>
      </c>
      <c r="L47" s="22" t="n"/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63">
        <f>SUM(M47:AA47)</f>
        <v/>
      </c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</row>
    <row r="48" ht="21" customFormat="1" customHeight="1" s="28">
      <c r="A48" s="60" t="inlineStr">
        <is>
          <t>FRANCA</t>
        </is>
      </c>
      <c r="B48" s="36" t="inlineStr">
        <is>
          <t>CHAPA_17</t>
        </is>
      </c>
      <c r="C48" s="65">
        <f>AC48</f>
        <v/>
      </c>
      <c r="D48" s="65">
        <f>C48*0.1818</f>
        <v/>
      </c>
      <c r="E48" s="65">
        <f>SUM(C48:D48)</f>
        <v/>
      </c>
      <c r="F48" s="65">
        <f>E48*0.1111</f>
        <v/>
      </c>
      <c r="G48" s="65">
        <f>E48*0.083</f>
        <v/>
      </c>
      <c r="H48" s="65">
        <f>SUM(E48:G48)*0.08</f>
        <v/>
      </c>
      <c r="I48" s="61">
        <f>AC20</f>
        <v/>
      </c>
      <c r="J48" s="61">
        <f>IF(I20=0,0,VLOOKUP(B45,$B$6:$I$26,8,0))</f>
        <v/>
      </c>
      <c r="K48" s="62">
        <f>IF(E48+I48&lt;=$K$60,(E48+I48)*J84-J48,IF(E48+I48&lt;=$K$61,(E48+I48)*J85-J48,IF(E48+I48&lt;=$K$62,(E48+I48)*L86-J48,513.0125)))</f>
        <v/>
      </c>
      <c r="L48" s="22" t="n"/>
      <c r="M48" s="38" t="n">
        <v>330.89</v>
      </c>
      <c r="N48" s="38" t="n">
        <v>0</v>
      </c>
      <c r="O48" s="38" t="n">
        <v>0</v>
      </c>
      <c r="P48" s="38" t="n">
        <v>261.02</v>
      </c>
      <c r="Q48" s="38" t="n">
        <v>188.22</v>
      </c>
      <c r="R48" s="38" t="n">
        <v>111.02</v>
      </c>
      <c r="S48" s="38" t="n">
        <v>111.02</v>
      </c>
      <c r="T48" s="38" t="n">
        <v>325.42</v>
      </c>
      <c r="U48" s="38" t="n">
        <v>0</v>
      </c>
      <c r="V48" s="38" t="n">
        <v>0</v>
      </c>
      <c r="W48" s="38" t="n">
        <v>111.02</v>
      </c>
      <c r="X48" s="38" t="n">
        <v>111.02</v>
      </c>
      <c r="Y48" s="38" t="n">
        <v>174.22</v>
      </c>
      <c r="Z48" s="38" t="n">
        <v>141.27</v>
      </c>
      <c r="AA48" s="38" t="n">
        <v>111.02</v>
      </c>
      <c r="AB48" s="38" t="n">
        <v>0</v>
      </c>
      <c r="AC48" s="63">
        <f>SUM(M48:AA48)</f>
        <v/>
      </c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</row>
    <row r="49" ht="21" customFormat="1" customHeight="1" s="28">
      <c r="A49" s="60" t="inlineStr">
        <is>
          <t>FRANCA</t>
        </is>
      </c>
      <c r="B49" s="34" t="inlineStr">
        <is>
          <t>CHAPA_12</t>
        </is>
      </c>
      <c r="C49" s="65">
        <f>AC49</f>
        <v/>
      </c>
      <c r="D49" s="65">
        <f>C49*0.1818</f>
        <v/>
      </c>
      <c r="E49" s="65">
        <f>SUM(C49:D49)</f>
        <v/>
      </c>
      <c r="F49" s="65">
        <f>E49*0.1111</f>
        <v/>
      </c>
      <c r="G49" s="65">
        <f>E49*0.083</f>
        <v/>
      </c>
      <c r="H49" s="65">
        <f>SUM(E49:G49)*0.08</f>
        <v/>
      </c>
      <c r="I49" s="61">
        <f>AC21</f>
        <v/>
      </c>
      <c r="J49" s="61">
        <f>IF(I21=0,0,VLOOKUP(B47,$B$6:$I$26,8,0))</f>
        <v/>
      </c>
      <c r="K49" s="62">
        <f>IF(E49+I49&lt;=$K$60,(E49+I49)*J85-J49,IF(E49+I49&lt;=$K$61,(E49+I49)*J86-J49,IF(E49+I49&lt;=$K$62,(E49+I49)*L87-J49,513.0125)))</f>
        <v/>
      </c>
      <c r="L49" s="22" t="n"/>
      <c r="M49" s="32" t="n">
        <v>0</v>
      </c>
      <c r="N49" s="32" t="n">
        <v>0</v>
      </c>
      <c r="O49" s="32" t="n">
        <v>0</v>
      </c>
      <c r="P49" s="32" t="n">
        <v>0</v>
      </c>
      <c r="Q49" s="32" t="n">
        <v>99.19</v>
      </c>
      <c r="R49" s="32" t="n">
        <v>99.2</v>
      </c>
      <c r="S49" s="32" t="n">
        <v>99.2</v>
      </c>
      <c r="T49" s="32" t="n">
        <v>127.15</v>
      </c>
      <c r="U49" s="32" t="n">
        <v>45.09</v>
      </c>
      <c r="V49" s="32" t="n">
        <v>0</v>
      </c>
      <c r="W49" s="32" t="n">
        <v>103.35</v>
      </c>
      <c r="X49" s="32" t="n">
        <v>134.29</v>
      </c>
      <c r="Y49" s="32" t="n">
        <v>119.49</v>
      </c>
      <c r="Z49" s="32" t="n">
        <v>0</v>
      </c>
      <c r="AA49" s="32" t="n">
        <v>99.2</v>
      </c>
      <c r="AB49" s="32" t="n">
        <v>45.09</v>
      </c>
      <c r="AC49" s="63">
        <f>SUM(M49:AA49)</f>
        <v/>
      </c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</row>
    <row r="50" ht="21" customFormat="1" customHeight="1" s="28">
      <c r="A50" s="60" t="inlineStr">
        <is>
          <t>FRANCA</t>
        </is>
      </c>
      <c r="B50" s="34" t="n">
        <v>5</v>
      </c>
      <c r="C50" s="65">
        <f>AC50</f>
        <v/>
      </c>
      <c r="D50" s="65">
        <f>C50*0.1818</f>
        <v/>
      </c>
      <c r="E50" s="65">
        <f>SUM(C50:D50)</f>
        <v/>
      </c>
      <c r="F50" s="65">
        <f>E50*0.1111</f>
        <v/>
      </c>
      <c r="G50" s="65">
        <f>E50*0.083</f>
        <v/>
      </c>
      <c r="H50" s="65">
        <f>SUM(E50:G50)*0.08</f>
        <v/>
      </c>
      <c r="I50" s="61">
        <f>AC22</f>
        <v/>
      </c>
      <c r="J50" s="61">
        <f>IF(I22=0,0,VLOOKUP(#REF!,$B$6:$I$26,8,0))</f>
        <v/>
      </c>
      <c r="K50" s="62">
        <f>IF(E50+I50&lt;=$K$60,(E50+I50)*J86-J50,IF(E50+I50&lt;=$K$61,(E50+I50)*J87-J50,IF(E50+I50&lt;=$K$62,(E50+I50)*L88-J50,513.0125)))</f>
        <v/>
      </c>
      <c r="L50" s="22" t="n"/>
      <c r="M50" s="32" t="n">
        <v>0</v>
      </c>
      <c r="N50" s="32" t="n">
        <v>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32" t="n">
        <v>0</v>
      </c>
      <c r="W50" s="32" t="n">
        <v>103.35</v>
      </c>
      <c r="X50" s="32" t="n">
        <v>134.28</v>
      </c>
      <c r="Y50" s="32" t="n">
        <v>119.48</v>
      </c>
      <c r="Z50" s="32" t="n">
        <v>109.65</v>
      </c>
      <c r="AA50" s="66" t="n">
        <v>99.2</v>
      </c>
      <c r="AB50" s="66" t="n">
        <v>45.09</v>
      </c>
      <c r="AC50" s="63">
        <f>SUM(M50:AB50)</f>
        <v/>
      </c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</row>
    <row r="51" ht="21" customFormat="1" customHeight="1" s="28">
      <c r="A51" s="60" t="inlineStr">
        <is>
          <t>FRANCA</t>
        </is>
      </c>
      <c r="C51" s="65">
        <f>AC51</f>
        <v/>
      </c>
      <c r="D51" s="65">
        <f>C51*0.1818</f>
        <v/>
      </c>
      <c r="E51" s="65">
        <f>SUM(C51:D51)</f>
        <v/>
      </c>
      <c r="F51" s="65">
        <f>E51*0.1111</f>
        <v/>
      </c>
      <c r="G51" s="65">
        <f>E51*0.083</f>
        <v/>
      </c>
      <c r="H51" s="65">
        <f>SUM(E51:G51)*0.08</f>
        <v/>
      </c>
      <c r="I51" s="61">
        <f>AC23</f>
        <v/>
      </c>
      <c r="J51" s="61">
        <f>IF(I23=0,0,VLOOKUP(#REF!,$B$6:$I$26,8,0))</f>
        <v/>
      </c>
      <c r="K51" s="62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63">
        <f>SUM(M51:AA51)</f>
        <v/>
      </c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</row>
    <row r="52" ht="21" customFormat="1" customHeight="1" s="28">
      <c r="A52" s="60" t="inlineStr">
        <is>
          <t>FRANCA</t>
        </is>
      </c>
      <c r="C52" s="65">
        <f>AC52</f>
        <v/>
      </c>
      <c r="D52" s="65">
        <f>C52*0.1818</f>
        <v/>
      </c>
      <c r="E52" s="65">
        <f>SUM(C52:D52)</f>
        <v/>
      </c>
      <c r="F52" s="65">
        <f>E52*0.1111</f>
        <v/>
      </c>
      <c r="G52" s="65">
        <f>E52*0.083</f>
        <v/>
      </c>
      <c r="H52" s="65">
        <f>SUM(E52:G52)*0.08</f>
        <v/>
      </c>
      <c r="I52" s="61">
        <f>AC24</f>
        <v/>
      </c>
      <c r="J52" s="61">
        <f>IF(I24=0,0,VLOOKUP(#REF!,$B$6:$I$26,8,0))</f>
        <v/>
      </c>
      <c r="K52" s="62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3">
        <f>SUM(M52:AA52)</f>
        <v/>
      </c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</row>
    <row r="53" ht="21" customFormat="1" customHeight="1" s="28">
      <c r="A53" s="60" t="inlineStr">
        <is>
          <t>FRANCA</t>
        </is>
      </c>
      <c r="C53" s="65">
        <f>AC53</f>
        <v/>
      </c>
      <c r="D53" s="65">
        <f>C53*0.1818</f>
        <v/>
      </c>
      <c r="E53" s="65">
        <f>SUM(C53:D53)</f>
        <v/>
      </c>
      <c r="F53" s="65">
        <f>E53*0.1111</f>
        <v/>
      </c>
      <c r="G53" s="65">
        <f>E53*0.083</f>
        <v/>
      </c>
      <c r="H53" s="65">
        <f>SUM(E53:G53)*0.08</f>
        <v/>
      </c>
      <c r="I53" s="61">
        <f>AC25</f>
        <v/>
      </c>
      <c r="J53" s="61">
        <f>IF(I25=0,0,VLOOKUP(#REF!,$B$6:$I$26,8,0))</f>
        <v/>
      </c>
      <c r="K53" s="62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3">
        <f>SUM(M53:AA53)</f>
        <v/>
      </c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</row>
    <row r="54" ht="21.6" customFormat="1" customHeight="1" s="28" thickBot="1">
      <c r="A54" s="60" t="inlineStr">
        <is>
          <t>FRANCA</t>
        </is>
      </c>
      <c r="C54" s="68">
        <f>AC54</f>
        <v/>
      </c>
      <c r="D54" s="68">
        <f>C54*0.1818</f>
        <v/>
      </c>
      <c r="E54" s="68">
        <f>SUM(C54:D54)</f>
        <v/>
      </c>
      <c r="F54" s="68">
        <f>E54*0.1111</f>
        <v/>
      </c>
      <c r="G54" s="68">
        <f>E54*0.083</f>
        <v/>
      </c>
      <c r="H54" s="68">
        <f>SUM(E54:G54)*0.08</f>
        <v/>
      </c>
      <c r="I54" s="69">
        <f>AC26</f>
        <v/>
      </c>
      <c r="J54" s="69">
        <f>IF(I26=0,0,VLOOKUP(#REF!,$B$6:$I$26,8,0))</f>
        <v/>
      </c>
      <c r="K54" s="70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3">
        <f>SUM(M54:AA54)</f>
        <v/>
      </c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</row>
    <row r="55" ht="21" customFormat="1" customHeight="1" s="28" thickBot="1">
      <c r="A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43" t="n"/>
      <c r="N55" s="43" t="n">
        <v>29</v>
      </c>
      <c r="O55" s="43">
        <f>COUNT(#REF!)</f>
        <v/>
      </c>
      <c r="P55" s="43">
        <f>COUNT(#REF!)</f>
        <v/>
      </c>
      <c r="Q55" s="43">
        <f>COUNT(#REF!)</f>
        <v/>
      </c>
      <c r="R55" s="43" t="n"/>
      <c r="S55" s="43">
        <f>COUNT(#REF!)</f>
        <v/>
      </c>
      <c r="T55" s="43">
        <f>COUNT(#REF!)</f>
        <v/>
      </c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23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</row>
    <row r="56" ht="21" customFormat="1" customHeight="1" s="28">
      <c r="L56" s="23" t="n"/>
      <c r="M56" s="44" t="inlineStr">
        <is>
          <t>TOTAL GERAL / BOLETIM ENSACADORES:</t>
        </is>
      </c>
      <c r="N56" s="45" t="n"/>
      <c r="O56" s="45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7" t="inlineStr">
        <is>
          <t>TOTAL:</t>
        </is>
      </c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</row>
    <row r="57" ht="21" customFormat="1" customHeight="1" s="28">
      <c r="L57" s="23" t="n"/>
      <c r="M57" s="48">
        <f>SUM(M36:M54)</f>
        <v/>
      </c>
      <c r="N57" s="48">
        <f>SUM(N36:N54)</f>
        <v/>
      </c>
      <c r="O57" s="48">
        <f>SUM(O36:O54)</f>
        <v/>
      </c>
      <c r="P57" s="48">
        <f>SUM(P36:P54)</f>
        <v/>
      </c>
      <c r="Q57" s="48">
        <f>SUM(Q36:Q54)</f>
        <v/>
      </c>
      <c r="R57" s="48">
        <f>SUM(R36:R54)</f>
        <v/>
      </c>
      <c r="S57" s="48">
        <f>SUM(S36:S54)</f>
        <v/>
      </c>
      <c r="T57" s="48">
        <f>SUM(T36:T54)</f>
        <v/>
      </c>
      <c r="U57" s="48">
        <f>SUM(U36:U54)</f>
        <v/>
      </c>
      <c r="V57" s="48">
        <f>SUM(V36:V54)</f>
        <v/>
      </c>
      <c r="W57" s="48">
        <f>SUM(W36:W54)</f>
        <v/>
      </c>
      <c r="X57" s="48">
        <f>SUM(X36:X54)</f>
        <v/>
      </c>
      <c r="Y57" s="48">
        <f>SUM(Y36:Y54)</f>
        <v/>
      </c>
      <c r="Z57" s="48">
        <f>SUM(Z36:Z54)</f>
        <v/>
      </c>
      <c r="AA57" s="48">
        <f>SUM(AA36:AA54)</f>
        <v/>
      </c>
      <c r="AB57" s="48">
        <f>SUM(AB36:AB54)</f>
        <v/>
      </c>
      <c r="AC57" s="49" t="n"/>
      <c r="AD57" s="50">
        <f>SUM(M57:AB57)</f>
        <v/>
      </c>
      <c r="AE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</row>
    <row r="58" ht="20.4" customFormat="1" customHeight="1" s="28">
      <c r="L58" s="23" t="n"/>
      <c r="AE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</row>
    <row r="59" ht="21" customFormat="1" customHeight="1" s="28" thickBot="1">
      <c r="L59" s="23" t="n"/>
      <c r="AE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</row>
    <row r="60" ht="21.6" customFormat="1" customHeight="1" s="28" thickBot="1">
      <c r="A60" s="75" t="inlineStr">
        <is>
          <t>MÉDIA DIARIA CHAPAS</t>
        </is>
      </c>
      <c r="B60" s="156" t="n"/>
      <c r="C60" s="52" t="n">
        <v>11</v>
      </c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</row>
    <row r="61" ht="20.4" customFormat="1" customHeight="1" s="28"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</row>
    <row r="62" ht="21" customFormat="1" customHeight="1" s="28">
      <c r="A62" s="80" t="n"/>
      <c r="B62" s="23" t="n"/>
      <c r="C62" s="76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</row>
    <row r="63" ht="25.8" customFormat="1" customHeight="1" s="28">
      <c r="A63" s="81" t="n"/>
      <c r="B63" s="82" t="n"/>
      <c r="C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</row>
    <row r="64" ht="21" customFormat="1" customHeight="1" s="28">
      <c r="A64" s="34" t="n"/>
      <c r="B64" s="34" t="n"/>
      <c r="C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</row>
    <row r="65" ht="21" customFormat="1" customHeight="1" s="28">
      <c r="A65" s="34" t="n"/>
      <c r="B65" s="34" t="n"/>
      <c r="C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</row>
    <row r="66" ht="21" customFormat="1" customHeight="1" s="28">
      <c r="A66" s="34" t="n"/>
      <c r="B66" s="34" t="n"/>
      <c r="C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</row>
    <row r="67" ht="21" customFormat="1" customHeight="1" s="28">
      <c r="A67" s="34" t="n"/>
      <c r="B67" s="34" t="n"/>
      <c r="C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</row>
    <row r="68" ht="21" customFormat="1" customHeight="1" s="28">
      <c r="A68" s="34" t="n"/>
      <c r="B68" s="34" t="n"/>
      <c r="C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</row>
    <row r="69" ht="21" customFormat="1" customHeight="1" s="28">
      <c r="A69" s="34" t="n"/>
      <c r="B69" s="34" t="n"/>
      <c r="C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  <c r="AD69" s="34" t="n"/>
    </row>
    <row r="70" ht="21" customFormat="1" customHeight="1" s="28">
      <c r="A70" s="34" t="n"/>
      <c r="B70" s="34" t="n"/>
      <c r="C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</row>
    <row r="71" ht="21" customFormat="1" customHeight="1" s="28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</row>
    <row r="72" customFormat="1" s="28"/>
    <row r="73" customFormat="1" s="28"/>
    <row r="74" customFormat="1" s="28"/>
    <row r="75" customFormat="1" s="28"/>
    <row r="76" customFormat="1" s="28"/>
    <row r="77" customFormat="1" s="28"/>
    <row r="78" customFormat="1" s="28"/>
    <row r="79" customFormat="1" s="28"/>
    <row r="80" customFormat="1" s="28"/>
    <row r="81" customFormat="1" s="28"/>
    <row r="82" customFormat="1" s="28"/>
    <row r="83" customFormat="1" s="28"/>
    <row r="84" customFormat="1" s="28"/>
    <row r="85" customFormat="1" s="28"/>
    <row r="86" customFormat="1" s="28"/>
    <row r="87" customFormat="1" s="28"/>
    <row r="88" customFormat="1" s="28"/>
    <row r="89" customFormat="1" s="28"/>
    <row r="90" customFormat="1" s="28"/>
    <row r="91" customFormat="1" s="28"/>
    <row r="92" customFormat="1" s="28"/>
    <row r="93" customFormat="1" s="28"/>
    <row r="94" customFormat="1" s="28"/>
    <row r="95" customFormat="1" s="28"/>
    <row r="96" customFormat="1" s="28"/>
    <row r="97" customFormat="1" s="28"/>
    <row r="98" customFormat="1" s="28"/>
    <row r="99" customFormat="1" s="28"/>
    <row r="100" customFormat="1" s="28"/>
    <row r="101" customFormat="1" s="28"/>
    <row r="102" customFormat="1" s="28"/>
    <row r="103" customFormat="1" s="28"/>
    <row r="104" customFormat="1" s="28"/>
    <row r="105" customFormat="1" s="28"/>
    <row r="106" customFormat="1" s="28"/>
    <row r="107" customFormat="1" s="28"/>
    <row r="108" customFormat="1" s="28"/>
    <row r="109" customFormat="1" s="28"/>
    <row r="110" customFormat="1" s="28"/>
    <row r="111" customFormat="1" s="28"/>
    <row r="112" customFormat="1" s="28"/>
    <row r="113" customFormat="1" s="28"/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AD114" s="28" t="n"/>
      <c r="AE114" s="28" t="n"/>
      <c r="AF114" s="28" t="n"/>
      <c r="AG114" s="28" t="n"/>
      <c r="AH114" s="28" t="n"/>
    </row>
  </sheetData>
  <mergeCells count="8">
    <mergeCell ref="A34:K34"/>
    <mergeCell ref="M34:AD34"/>
    <mergeCell ref="M4:AC4"/>
    <mergeCell ref="A60:B60"/>
    <mergeCell ref="A2:H2"/>
    <mergeCell ref="A3:I3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4"/>
  <sheetViews>
    <sheetView topLeftCell="A28" zoomScale="55" zoomScaleNormal="55" workbookViewId="0">
      <selection activeCell="M58" sqref="M58:AD59"/>
    </sheetView>
  </sheetViews>
  <sheetFormatPr baseColWidth="8" defaultRowHeight="14.4"/>
  <cols>
    <col width="14.109375" customWidth="1" min="1" max="1"/>
    <col width="60.44140625" bestFit="1" customWidth="1" min="2" max="2"/>
    <col width="16.33203125" bestFit="1" customWidth="1" min="3" max="3"/>
    <col width="15.109375" bestFit="1" customWidth="1" min="4" max="4"/>
    <col width="16.33203125" bestFit="1" customWidth="1" min="5" max="5"/>
    <col width="14.88671875" customWidth="1" min="6" max="6"/>
    <col width="21.6640625" bestFit="1" customWidth="1" min="7" max="7"/>
    <col width="15" bestFit="1" customWidth="1" min="8" max="8"/>
    <col width="14" customWidth="1" min="9" max="9"/>
    <col width="20.88671875" customWidth="1" min="10" max="10"/>
    <col width="20.6640625" customWidth="1" min="11" max="11"/>
    <col width="3" customWidth="1" min="12" max="12"/>
    <col width="15.33203125" customWidth="1" min="13" max="14"/>
    <col width="15.109375" customWidth="1" min="15" max="15"/>
    <col width="14.6640625" customWidth="1" min="16" max="16"/>
    <col width="15.109375" customWidth="1" min="17" max="17"/>
    <col width="15.109375" bestFit="1" customWidth="1" min="18" max="19"/>
    <col width="14.6640625" customWidth="1" min="20" max="20"/>
    <col width="15.109375" customWidth="1" min="21" max="21"/>
    <col width="14.44140625" customWidth="1" min="22" max="22"/>
    <col width="15" customWidth="1" min="23" max="26"/>
    <col width="14.88671875" customWidth="1" min="27" max="28"/>
    <col width="14" customWidth="1" min="29" max="29"/>
    <col width="17.109375" customWidth="1" min="30" max="30"/>
    <col width="10.33203125" bestFit="1" customWidth="1" min="32" max="32"/>
    <col width="20" customWidth="1" min="33" max="33"/>
    <col width="10.33203125" bestFit="1" customWidth="1" min="34" max="34"/>
    <col width="10.33203125" bestFit="1" customWidth="1" min="36" max="37"/>
    <col width="10.33203125" bestFit="1" customWidth="1" min="39" max="39"/>
  </cols>
  <sheetData>
    <row r="1" ht="30" customHeight="1">
      <c r="A1" s="1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3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</row>
    <row r="2" ht="30" customHeight="1" thickBot="1">
      <c r="A2" s="5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7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</row>
    <row r="4" ht="21.6" customHeight="1" thickBo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" t="n"/>
      <c r="K4" s="11" t="n"/>
      <c r="L4" s="11" t="n"/>
      <c r="M4" s="159" t="inlineStr">
        <is>
          <t>total</t>
        </is>
      </c>
      <c r="N4" s="155" t="n"/>
      <c r="O4" s="155" t="n"/>
      <c r="P4" s="155" t="n"/>
      <c r="Q4" s="155" t="n"/>
      <c r="R4" s="155" t="n"/>
      <c r="S4" s="155" t="n"/>
      <c r="T4" s="155" t="n"/>
      <c r="U4" s="155" t="n"/>
      <c r="V4" s="155" t="n"/>
      <c r="W4" s="155" t="n"/>
      <c r="X4" s="155" t="n"/>
      <c r="Y4" s="155" t="n"/>
      <c r="Z4" s="155" t="n"/>
      <c r="AA4" s="155" t="n"/>
      <c r="AB4" s="155" t="n"/>
      <c r="AC4" s="156" t="n"/>
      <c r="AD4" s="18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 ht="21" customFormat="1" customHeight="1" s="28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23" t="n"/>
      <c r="L5" s="23" t="n"/>
      <c r="M5" s="24" t="n">
        <v>46054</v>
      </c>
      <c r="N5" s="24" t="n">
        <v>46055</v>
      </c>
      <c r="O5" s="24" t="n">
        <v>46056</v>
      </c>
      <c r="P5" s="24" t="n">
        <v>46057</v>
      </c>
      <c r="Q5" s="24" t="n">
        <v>46058</v>
      </c>
      <c r="R5" s="24" t="n">
        <v>46059</v>
      </c>
      <c r="S5" s="24" t="n">
        <v>46060</v>
      </c>
      <c r="T5" s="24" t="n">
        <v>46061</v>
      </c>
      <c r="U5" s="24" t="n">
        <v>46062</v>
      </c>
      <c r="V5" s="24" t="n">
        <v>46063</v>
      </c>
      <c r="W5" s="24" t="n">
        <v>46064</v>
      </c>
      <c r="X5" s="24" t="n">
        <v>46065</v>
      </c>
      <c r="Y5" s="24" t="n">
        <v>46066</v>
      </c>
      <c r="Z5" s="24" t="n">
        <v>46067</v>
      </c>
      <c r="AA5" s="24" t="n">
        <v>46068</v>
      </c>
      <c r="AB5" s="25" t="n"/>
      <c r="AC5" s="26" t="inlineStr">
        <is>
          <t>TOTAL</t>
        </is>
      </c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</row>
    <row r="6" ht="21" customFormat="1" customHeight="1" s="28">
      <c r="A6" s="83" t="inlineStr">
        <is>
          <t>FRANCA</t>
        </is>
      </c>
      <c r="B6" s="84" t="inlineStr">
        <is>
          <t>CHAPA_06</t>
        </is>
      </c>
      <c r="C6" s="85">
        <f>AC6</f>
        <v/>
      </c>
      <c r="D6" s="85">
        <f>C6*0.1818</f>
        <v/>
      </c>
      <c r="E6" s="85">
        <f>SUM(C6:D6)</f>
        <v/>
      </c>
      <c r="F6" s="85">
        <f>E6*0.1111</f>
        <v/>
      </c>
      <c r="G6" s="85">
        <f>E6*0.083</f>
        <v/>
      </c>
      <c r="H6" s="85">
        <f>SUM(E6:G6)*0.08</f>
        <v/>
      </c>
      <c r="I6" s="85">
        <f>IF(E6&lt;=$F$67,E6*$G$67,IF(E6&lt;=$F$68,E6*$G$68,IF(E6&lt;=$F$69,E6*$G$69,513.0125)))</f>
        <v/>
      </c>
      <c r="J6" s="22" t="n"/>
      <c r="K6" s="23" t="n"/>
      <c r="L6" s="23" t="n"/>
      <c r="M6" s="32" t="n">
        <v>0</v>
      </c>
      <c r="N6" s="32" t="n">
        <v>70.48</v>
      </c>
      <c r="O6" s="32" t="n">
        <v>112.76</v>
      </c>
      <c r="P6" s="32" t="n">
        <v>162.49</v>
      </c>
      <c r="Q6" s="32" t="n">
        <v>112.76</v>
      </c>
      <c r="R6" s="32" t="n">
        <v>112.76</v>
      </c>
      <c r="S6" s="32" t="n">
        <v>51.26</v>
      </c>
      <c r="T6" s="32" t="n">
        <v>0</v>
      </c>
      <c r="U6" s="32" t="n">
        <v>112.76</v>
      </c>
      <c r="V6" s="32" t="n">
        <v>218.24</v>
      </c>
      <c r="W6" s="32" t="n">
        <v>112.76</v>
      </c>
      <c r="X6" s="32" t="n">
        <v>160.8</v>
      </c>
      <c r="Y6" s="32" t="n">
        <v>0</v>
      </c>
      <c r="Z6" s="32" t="n">
        <v>51.26</v>
      </c>
      <c r="AA6" s="32" t="n">
        <v>0</v>
      </c>
      <c r="AB6" s="32" t="n"/>
      <c r="AC6" s="33">
        <f>SUM(M6:AA6)</f>
        <v/>
      </c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</row>
    <row r="7" ht="21" customFormat="1" customHeight="1" s="28">
      <c r="A7" s="83" t="inlineStr">
        <is>
          <t>FRANCA</t>
        </is>
      </c>
      <c r="B7" s="84" t="inlineStr">
        <is>
          <t>CHAPA_12</t>
        </is>
      </c>
      <c r="C7" s="85">
        <f>AC7</f>
        <v/>
      </c>
      <c r="D7" s="85">
        <f>C7*0.1818</f>
        <v/>
      </c>
      <c r="E7" s="85">
        <f>SUM(C7:D7)</f>
        <v/>
      </c>
      <c r="F7" s="85">
        <f>E7*0.1111</f>
        <v/>
      </c>
      <c r="G7" s="85">
        <f>E7*0.083</f>
        <v/>
      </c>
      <c r="H7" s="85">
        <f>SUM(E7:G7)*0.08</f>
        <v/>
      </c>
      <c r="I7" s="85">
        <f>IF(E7&lt;=$F$67,E7*$G$67,IF(E7&lt;=$F$68,E7*$G$68,IF(E7&lt;=$F$69,E7*$G$69,513.0125)))</f>
        <v/>
      </c>
      <c r="J7" s="22" t="n"/>
      <c r="K7" s="34" t="n"/>
      <c r="L7" s="23" t="n"/>
      <c r="M7" s="32" t="n">
        <v>0</v>
      </c>
      <c r="N7" s="32" t="n">
        <v>112.76</v>
      </c>
      <c r="O7" s="32" t="n">
        <v>51.25</v>
      </c>
      <c r="P7" s="32" t="n">
        <v>162.49</v>
      </c>
      <c r="Q7" s="32" t="n">
        <v>112.76</v>
      </c>
      <c r="R7" s="32" t="n">
        <v>112.76</v>
      </c>
      <c r="S7" s="32" t="n">
        <v>51.26</v>
      </c>
      <c r="T7" s="32" t="n">
        <v>0</v>
      </c>
      <c r="U7" s="32" t="n">
        <v>112.76</v>
      </c>
      <c r="V7" s="32" t="n">
        <v>218.24</v>
      </c>
      <c r="W7" s="32" t="n">
        <v>112.76</v>
      </c>
      <c r="X7" s="32" t="n">
        <v>112.76</v>
      </c>
      <c r="Y7" s="32" t="n">
        <v>112.76</v>
      </c>
      <c r="Z7" s="32" t="n">
        <v>51.26</v>
      </c>
      <c r="AA7" s="32" t="n">
        <v>0</v>
      </c>
      <c r="AB7" s="32" t="n"/>
      <c r="AC7" s="33">
        <f>SUM(M7:AA7)</f>
        <v/>
      </c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</row>
    <row r="8" ht="21" customFormat="1" customHeight="1" s="28">
      <c r="A8" s="83" t="inlineStr">
        <is>
          <t>FRANCA</t>
        </is>
      </c>
      <c r="B8" s="84" t="inlineStr">
        <is>
          <t>CHAPA_14</t>
        </is>
      </c>
      <c r="C8" s="85">
        <f>AC8</f>
        <v/>
      </c>
      <c r="D8" s="85">
        <f>C8*0.1818</f>
        <v/>
      </c>
      <c r="E8" s="85">
        <f>SUM(C8:D8)</f>
        <v/>
      </c>
      <c r="F8" s="85">
        <f>E8*0.1111</f>
        <v/>
      </c>
      <c r="G8" s="85">
        <f>E8*0.083</f>
        <v/>
      </c>
      <c r="H8" s="85">
        <f>SUM(E8:G8)*0.08</f>
        <v/>
      </c>
      <c r="I8" s="85">
        <f>IF(E8&lt;=$F$67,E8*$G$67,IF(E8&lt;=$F$68,E8*$G$68,IF(E8&lt;=$F$69,E8*$G$69,513.0125)))</f>
        <v/>
      </c>
      <c r="J8" s="22" t="n"/>
      <c r="K8" s="23" t="n"/>
      <c r="L8" s="23" t="n"/>
      <c r="M8" s="32" t="n">
        <v>0</v>
      </c>
      <c r="N8" s="32" t="n">
        <v>112.76</v>
      </c>
      <c r="O8" s="32" t="n">
        <v>0</v>
      </c>
      <c r="P8" s="32" t="n">
        <v>162.49</v>
      </c>
      <c r="Q8" s="32" t="n">
        <v>112.76</v>
      </c>
      <c r="R8" s="32" t="n">
        <v>112.76</v>
      </c>
      <c r="S8" s="32" t="n">
        <v>51.26</v>
      </c>
      <c r="T8" s="32" t="n">
        <v>0</v>
      </c>
      <c r="U8" s="32" t="n">
        <v>112.76</v>
      </c>
      <c r="V8" s="32" t="n">
        <v>218.24</v>
      </c>
      <c r="W8" s="32" t="n">
        <v>112.76</v>
      </c>
      <c r="X8" s="32" t="n">
        <v>0</v>
      </c>
      <c r="Y8" s="32" t="n">
        <v>112.76</v>
      </c>
      <c r="Z8" s="32" t="n">
        <v>51.26</v>
      </c>
      <c r="AA8" s="32" t="n">
        <v>0</v>
      </c>
      <c r="AB8" s="32" t="n"/>
      <c r="AC8" s="33">
        <f>SUM(M8:AA8)</f>
        <v/>
      </c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</row>
    <row r="9" ht="21" customFormat="1" customHeight="1" s="28">
      <c r="A9" s="83" t="inlineStr">
        <is>
          <t>FRANCA</t>
        </is>
      </c>
      <c r="B9" s="86" t="inlineStr">
        <is>
          <t>CHAPA_15</t>
        </is>
      </c>
      <c r="C9" s="85" t="n">
        <v>0</v>
      </c>
      <c r="D9" s="85" t="n">
        <v>0</v>
      </c>
      <c r="E9" s="85" t="n">
        <v>0</v>
      </c>
      <c r="F9" s="85" t="n">
        <v>0</v>
      </c>
      <c r="G9" s="85" t="n">
        <v>0</v>
      </c>
      <c r="H9" s="85" t="n">
        <v>0</v>
      </c>
      <c r="I9" s="85" t="n">
        <v>0</v>
      </c>
      <c r="J9" s="22" t="n"/>
      <c r="K9" s="23" t="n"/>
      <c r="L9" s="23" t="n"/>
      <c r="M9" s="32" t="n">
        <v>0</v>
      </c>
      <c r="N9" s="32" t="n">
        <v>76.86</v>
      </c>
      <c r="O9" s="32" t="n">
        <v>112.76</v>
      </c>
      <c r="P9" s="32" t="n">
        <v>162.49</v>
      </c>
      <c r="Q9" s="32" t="n">
        <v>112.76</v>
      </c>
      <c r="R9" s="32" t="n">
        <v>112.76</v>
      </c>
      <c r="S9" s="32" t="n">
        <v>51.26</v>
      </c>
      <c r="T9" s="32" t="n">
        <v>0</v>
      </c>
      <c r="U9" s="32" t="n">
        <v>112.76</v>
      </c>
      <c r="V9" s="32" t="n">
        <v>218.24</v>
      </c>
      <c r="W9" s="32" t="n">
        <v>102.51</v>
      </c>
      <c r="X9" s="32" t="n">
        <v>112.76</v>
      </c>
      <c r="Y9" s="32" t="n">
        <v>112.76</v>
      </c>
      <c r="Z9" s="32" t="n">
        <v>51.26</v>
      </c>
      <c r="AA9" s="32" t="n">
        <v>0</v>
      </c>
      <c r="AB9" s="32" t="n"/>
      <c r="AC9" s="33">
        <f>SUM(M9:AA9)</f>
        <v/>
      </c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</row>
    <row r="10" ht="21" customFormat="1" customHeight="1" s="28">
      <c r="A10" s="83" t="inlineStr">
        <is>
          <t>FRANCA</t>
        </is>
      </c>
      <c r="B10" s="87" t="inlineStr">
        <is>
          <t>CHAPA_17</t>
        </is>
      </c>
      <c r="C10" s="85">
        <f>AC10</f>
        <v/>
      </c>
      <c r="D10" s="85">
        <f>C10*0.1818</f>
        <v/>
      </c>
      <c r="E10" s="85">
        <f>SUM(C10:D10)</f>
        <v/>
      </c>
      <c r="F10" s="85">
        <f>E10*0.1111</f>
        <v/>
      </c>
      <c r="G10" s="85">
        <f>E10*0.083</f>
        <v/>
      </c>
      <c r="H10" s="85">
        <f>SUM(E10:G10)*0.08</f>
        <v/>
      </c>
      <c r="I10" s="85">
        <f>IF(E10&lt;=$F$67,E10*$G$67,IF(E10&lt;=$F$68,E10*$G$68,IF(E10&lt;=$F$69,E10*$G$69,513.0125)))</f>
        <v/>
      </c>
      <c r="J10" s="22" t="n"/>
      <c r="K10" s="23" t="n"/>
      <c r="L10" s="23" t="n"/>
      <c r="M10" s="88" t="n">
        <v>0</v>
      </c>
      <c r="N10" s="88" t="n">
        <v>0</v>
      </c>
      <c r="O10" s="88" t="n">
        <v>0</v>
      </c>
      <c r="P10" s="88" t="n">
        <v>0</v>
      </c>
      <c r="Q10" s="88" t="n">
        <v>0</v>
      </c>
      <c r="R10" s="88" t="n">
        <v>0</v>
      </c>
      <c r="S10" s="32" t="n">
        <v>0</v>
      </c>
      <c r="T10" s="88" t="n">
        <v>0</v>
      </c>
      <c r="U10" s="32" t="n">
        <v>112.76</v>
      </c>
      <c r="V10" s="32" t="n">
        <v>218.24</v>
      </c>
      <c r="W10" s="32" t="n">
        <v>112.76</v>
      </c>
      <c r="X10" s="32" t="n">
        <v>112.76</v>
      </c>
      <c r="Y10" s="32" t="n">
        <v>112.76</v>
      </c>
      <c r="Z10" s="32" t="n">
        <v>51.26</v>
      </c>
      <c r="AA10" s="88" t="n">
        <v>0</v>
      </c>
      <c r="AB10" s="88" t="n"/>
      <c r="AC10" s="33">
        <f>SUM(M10:AA10)</f>
        <v/>
      </c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</row>
    <row r="11" ht="21" customFormat="1" customHeight="1" s="28">
      <c r="A11" s="83" t="inlineStr">
        <is>
          <t>FRANCA</t>
        </is>
      </c>
      <c r="B11" s="89" t="inlineStr">
        <is>
          <t>CHAPA_26</t>
        </is>
      </c>
      <c r="C11" s="85">
        <f>AC11</f>
        <v/>
      </c>
      <c r="D11" s="85">
        <f>C11*0.1818</f>
        <v/>
      </c>
      <c r="E11" s="85">
        <f>SUM(C11:D11)</f>
        <v/>
      </c>
      <c r="F11" s="85">
        <f>E11*0.1111</f>
        <v/>
      </c>
      <c r="G11" s="85">
        <f>E11*0.083</f>
        <v/>
      </c>
      <c r="H11" s="85">
        <f>SUM(E11:G11)*0.08</f>
        <v/>
      </c>
      <c r="I11" s="85">
        <f>IF(E11&lt;=$F$67,E11*$G$67,IF(E11&lt;=$F$68,E11*$G$68,IF(E11&lt;=$F$69,E11*$G$69,513.0125)))</f>
        <v/>
      </c>
      <c r="J11" s="22" t="n"/>
      <c r="K11" s="23" t="n"/>
      <c r="L11" s="23" t="n"/>
      <c r="M11" s="32" t="n">
        <v>0</v>
      </c>
      <c r="N11" s="32" t="n">
        <v>112.76</v>
      </c>
      <c r="O11" s="32" t="n">
        <v>112.76</v>
      </c>
      <c r="P11" s="32" t="n">
        <v>162.49</v>
      </c>
      <c r="Q11" s="32" t="n">
        <v>112.76</v>
      </c>
      <c r="R11" s="32" t="n">
        <v>112.76</v>
      </c>
      <c r="S11" s="32" t="n">
        <v>51.26</v>
      </c>
      <c r="T11" s="32" t="n">
        <v>0</v>
      </c>
      <c r="U11" s="32" t="n">
        <v>112.76</v>
      </c>
      <c r="V11" s="32" t="n">
        <v>218.24</v>
      </c>
      <c r="W11" s="32" t="n">
        <v>112.76</v>
      </c>
      <c r="X11" s="32" t="n">
        <v>112.76</v>
      </c>
      <c r="Y11" s="32" t="n">
        <v>112.76</v>
      </c>
      <c r="Z11" s="32" t="n">
        <v>51.26</v>
      </c>
      <c r="AA11" s="32" t="n">
        <v>0</v>
      </c>
      <c r="AB11" s="32" t="n"/>
      <c r="AC11" s="33">
        <f>SUM(M11:AA11)</f>
        <v/>
      </c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</row>
    <row r="12" ht="21" customFormat="1" customHeight="1" s="28">
      <c r="A12" s="83" t="inlineStr">
        <is>
          <t>FRANCA</t>
        </is>
      </c>
      <c r="B12" s="89" t="inlineStr">
        <is>
          <t>CHAPA_37</t>
        </is>
      </c>
      <c r="C12" s="85">
        <f>AC12</f>
        <v/>
      </c>
      <c r="D12" s="85">
        <f>C12*0.1818</f>
        <v/>
      </c>
      <c r="E12" s="85">
        <f>SUM(C12:D12)</f>
        <v/>
      </c>
      <c r="F12" s="85">
        <f>E12*0.1111</f>
        <v/>
      </c>
      <c r="G12" s="85">
        <f>E12*0.083</f>
        <v/>
      </c>
      <c r="H12" s="85">
        <f>SUM(E12:G12)*0.08</f>
        <v/>
      </c>
      <c r="I12" s="85">
        <f>IF(E12&lt;=$F$67,E12*$G$67,IF(E12&lt;=$F$68,E12*$G$68,IF(E12&lt;=$F$69,E12*$G$69,513.0125)))</f>
        <v/>
      </c>
      <c r="J12" s="22" t="n"/>
      <c r="K12" s="23" t="n"/>
      <c r="L12" s="23" t="n"/>
      <c r="M12" s="32" t="n">
        <v>0</v>
      </c>
      <c r="N12" s="32" t="n">
        <v>64.05</v>
      </c>
      <c r="O12" s="32" t="n">
        <v>112.76</v>
      </c>
      <c r="P12" s="32" t="n">
        <v>162.49</v>
      </c>
      <c r="Q12" s="32" t="n">
        <v>112.76</v>
      </c>
      <c r="R12" s="32" t="n">
        <v>112.76</v>
      </c>
      <c r="S12" s="32" t="n">
        <v>51.25</v>
      </c>
      <c r="T12" s="32" t="n">
        <v>0</v>
      </c>
      <c r="U12" s="32" t="n">
        <v>112.76</v>
      </c>
      <c r="V12" s="32" t="n">
        <v>218.24</v>
      </c>
      <c r="W12" s="32" t="n">
        <v>51.25</v>
      </c>
      <c r="X12" s="32" t="n">
        <v>89.69</v>
      </c>
      <c r="Y12" s="32" t="n">
        <v>112.76</v>
      </c>
      <c r="Z12" s="32" t="n">
        <v>51.25</v>
      </c>
      <c r="AA12" s="32" t="n">
        <v>0</v>
      </c>
      <c r="AB12" s="32" t="n"/>
      <c r="AC12" s="33">
        <f>SUM(M12:AA12)</f>
        <v/>
      </c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</row>
    <row r="13" ht="21" customFormat="1" customHeight="1" s="28">
      <c r="A13" s="83" t="inlineStr">
        <is>
          <t>FRANCA</t>
        </is>
      </c>
      <c r="B13" s="86" t="inlineStr">
        <is>
          <t>CHAPA_38</t>
        </is>
      </c>
      <c r="C13" s="85">
        <f>AC13</f>
        <v/>
      </c>
      <c r="D13" s="85">
        <f>C13*0.1818</f>
        <v/>
      </c>
      <c r="E13" s="85">
        <f>SUM(C13:D13)</f>
        <v/>
      </c>
      <c r="F13" s="85">
        <f>E13*0.1111</f>
        <v/>
      </c>
      <c r="G13" s="85">
        <f>E13*0.083</f>
        <v/>
      </c>
      <c r="H13" s="85">
        <f>SUM(E13:G13)*0.08</f>
        <v/>
      </c>
      <c r="I13" s="85">
        <f>IF(E13&lt;=$F$67,E13*$G$67,IF(E13&lt;=$F$68,E13*$G$68,IF(E13&lt;=$F$69,E13*$G$69,513.0125)))</f>
        <v/>
      </c>
      <c r="J13" s="22" t="n"/>
      <c r="K13" s="23" t="n"/>
      <c r="L13" s="23" t="n"/>
      <c r="M13" s="32" t="n">
        <v>0</v>
      </c>
      <c r="N13" s="32" t="n">
        <v>112.76</v>
      </c>
      <c r="O13" s="32" t="n">
        <v>112.76</v>
      </c>
      <c r="P13" s="32" t="n">
        <v>162.49</v>
      </c>
      <c r="Q13" s="32" t="n">
        <v>112.76</v>
      </c>
      <c r="R13" s="32" t="n">
        <v>112.76</v>
      </c>
      <c r="S13" s="32" t="n">
        <v>51.25</v>
      </c>
      <c r="T13" s="32" t="n">
        <v>0</v>
      </c>
      <c r="U13" s="32" t="n">
        <v>112.76</v>
      </c>
      <c r="V13" s="32" t="n">
        <v>218.24</v>
      </c>
      <c r="W13" s="32" t="n">
        <v>112.76</v>
      </c>
      <c r="X13" s="32" t="n">
        <v>112.76</v>
      </c>
      <c r="Y13" s="32" t="n">
        <v>112.76</v>
      </c>
      <c r="Z13" s="32" t="n">
        <v>51.25</v>
      </c>
      <c r="AA13" s="32" t="n">
        <v>0</v>
      </c>
      <c r="AB13" s="32" t="n"/>
      <c r="AC13" s="33">
        <f>SUM(M13:AA13)</f>
        <v/>
      </c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</row>
    <row r="14" ht="21" customFormat="1" customHeight="1" s="28">
      <c r="A14" s="83" t="inlineStr">
        <is>
          <t>FRANCA</t>
        </is>
      </c>
      <c r="B14" s="86" t="inlineStr">
        <is>
          <t>CHAPA_41</t>
        </is>
      </c>
      <c r="C14" s="85">
        <f>AC14</f>
        <v/>
      </c>
      <c r="D14" s="85">
        <f>C14*0.1818</f>
        <v/>
      </c>
      <c r="E14" s="85">
        <f>SUM(C14:D14)</f>
        <v/>
      </c>
      <c r="F14" s="85">
        <f>E14*0.1111</f>
        <v/>
      </c>
      <c r="G14" s="85">
        <f>E14*0.083</f>
        <v/>
      </c>
      <c r="H14" s="85">
        <f>SUM(E14:G14)*0.08</f>
        <v/>
      </c>
      <c r="I14" s="85">
        <f>IF(E14&lt;=$F$67,E14*$G$67,IF(E14&lt;=$F$68,E14*$G$68,IF(E14&lt;=$F$69,E14*$G$69,513.0125)))</f>
        <v/>
      </c>
      <c r="J14" s="22" t="n"/>
      <c r="K14" s="23" t="n"/>
      <c r="L14" s="23" t="n"/>
      <c r="M14" s="32" t="n">
        <v>0</v>
      </c>
      <c r="N14" s="32" t="n">
        <v>112.76</v>
      </c>
      <c r="O14" s="32" t="n">
        <v>112.76</v>
      </c>
      <c r="P14" s="32" t="n">
        <v>162.49</v>
      </c>
      <c r="Q14" s="32" t="n">
        <v>112.76</v>
      </c>
      <c r="R14" s="32" t="n">
        <v>112.76</v>
      </c>
      <c r="S14" s="32" t="n">
        <v>51.25</v>
      </c>
      <c r="T14" s="32" t="n">
        <v>0</v>
      </c>
      <c r="U14" s="32" t="n">
        <v>112.76</v>
      </c>
      <c r="V14" s="32" t="n">
        <v>218.24</v>
      </c>
      <c r="W14" s="32" t="n">
        <v>112.76</v>
      </c>
      <c r="X14" s="32" t="n">
        <v>112.76</v>
      </c>
      <c r="Y14" s="32" t="n">
        <v>112.76</v>
      </c>
      <c r="Z14" s="32" t="n">
        <v>51.25</v>
      </c>
      <c r="AA14" s="32" t="n">
        <v>0</v>
      </c>
      <c r="AB14" s="32" t="n"/>
      <c r="AC14" s="33">
        <f>SUM(M14:AA14)</f>
        <v/>
      </c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</row>
    <row r="15" ht="21" customFormat="1" customHeight="1" s="28">
      <c r="A15" s="83" t="inlineStr">
        <is>
          <t>FRANCA</t>
        </is>
      </c>
      <c r="B15" s="86" t="inlineStr">
        <is>
          <t>CHAPA_43</t>
        </is>
      </c>
      <c r="C15" s="85">
        <f>AC15</f>
        <v/>
      </c>
      <c r="D15" s="85">
        <f>C15*0.1818</f>
        <v/>
      </c>
      <c r="E15" s="85">
        <f>SUM(C15:D15)</f>
        <v/>
      </c>
      <c r="F15" s="85">
        <f>E15*0.1111</f>
        <v/>
      </c>
      <c r="G15" s="85">
        <f>E15*0.083</f>
        <v/>
      </c>
      <c r="H15" s="85">
        <f>SUM(E15:G15)*0.08</f>
        <v/>
      </c>
      <c r="I15" s="85">
        <f>IF(E15&lt;=$F$67,E15*$G$67,IF(E15&lt;=$F$68,E15*$G$68,IF(E15&lt;=$F$69,E15*$G$69,513.0125)))</f>
        <v/>
      </c>
      <c r="J15" s="22" t="n"/>
      <c r="K15" s="23" t="n"/>
      <c r="L15" s="23" t="n"/>
      <c r="M15" s="32" t="n">
        <v>0</v>
      </c>
      <c r="N15" s="32" t="n">
        <v>112.76</v>
      </c>
      <c r="O15" s="32" t="n">
        <v>112.76</v>
      </c>
      <c r="P15" s="32" t="n">
        <v>162.49</v>
      </c>
      <c r="Q15" s="32" t="n">
        <v>112.76</v>
      </c>
      <c r="R15" s="32" t="n">
        <v>112.76</v>
      </c>
      <c r="S15" s="32" t="n">
        <v>51.25</v>
      </c>
      <c r="T15" s="32" t="n">
        <v>0</v>
      </c>
      <c r="U15" s="32" t="n">
        <v>0</v>
      </c>
      <c r="V15" s="32" t="n">
        <v>218.24</v>
      </c>
      <c r="W15" s="32" t="n">
        <v>102.51</v>
      </c>
      <c r="X15" s="32" t="n">
        <v>112.76</v>
      </c>
      <c r="Y15" s="32" t="n">
        <v>112.76</v>
      </c>
      <c r="Z15" s="32" t="n">
        <v>51.25</v>
      </c>
      <c r="AA15" s="32" t="n">
        <v>0</v>
      </c>
      <c r="AB15" s="32" t="n"/>
      <c r="AC15" s="33">
        <f>SUM(M15:AA15)</f>
        <v/>
      </c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</row>
    <row r="16" ht="21" customFormat="1" customHeight="1" s="28">
      <c r="A16" s="83" t="inlineStr">
        <is>
          <t>FRANCA</t>
        </is>
      </c>
      <c r="B16" s="84" t="inlineStr">
        <is>
          <t>CHAPA_46</t>
        </is>
      </c>
      <c r="C16" s="85">
        <f>AC16</f>
        <v/>
      </c>
      <c r="D16" s="85">
        <f>C16*0.1818</f>
        <v/>
      </c>
      <c r="E16" s="85">
        <f>SUM(C16:D16)</f>
        <v/>
      </c>
      <c r="F16" s="85">
        <f>E16*0.1111</f>
        <v/>
      </c>
      <c r="G16" s="85">
        <f>E16*0.083</f>
        <v/>
      </c>
      <c r="H16" s="85">
        <f>SUM(E16:G16)*0.08</f>
        <v/>
      </c>
      <c r="I16" s="85">
        <f>IF(E16&lt;=$F$67,E16*$G$67,IF(E16&lt;=$F$68,E16*$G$68,IF(E16&lt;=$F$69,E16*$G$69,513.0125)))</f>
        <v/>
      </c>
      <c r="J16" s="22" t="n"/>
      <c r="K16" s="23" t="n"/>
      <c r="L16" s="23" t="n"/>
      <c r="M16" s="32" t="n">
        <v>0</v>
      </c>
      <c r="N16" s="32" t="n">
        <v>112.76</v>
      </c>
      <c r="O16" s="32" t="n">
        <v>112.77</v>
      </c>
      <c r="P16" s="32" t="n">
        <v>162.51</v>
      </c>
      <c r="Q16" s="32" t="n">
        <v>112.76</v>
      </c>
      <c r="R16" s="32" t="n">
        <v>112.76</v>
      </c>
      <c r="S16" s="32" t="n">
        <v>51.25</v>
      </c>
      <c r="T16" s="32" t="n">
        <v>0</v>
      </c>
      <c r="U16" s="32" t="n">
        <v>112.76</v>
      </c>
      <c r="V16" s="32" t="n">
        <v>95.04000000000001</v>
      </c>
      <c r="W16" s="32" t="n">
        <v>76.88</v>
      </c>
      <c r="X16" s="32" t="n">
        <v>112.76</v>
      </c>
      <c r="Y16" s="32" t="n">
        <v>112.76</v>
      </c>
      <c r="Z16" s="32" t="n">
        <v>51.25</v>
      </c>
      <c r="AA16" s="32" t="n">
        <v>0</v>
      </c>
      <c r="AB16" s="32" t="n"/>
      <c r="AC16" s="33">
        <f>SUM(M16:AA16)</f>
        <v/>
      </c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</row>
    <row r="17" ht="21" customFormat="1" customHeight="1" s="28">
      <c r="A17" s="83" t="inlineStr">
        <is>
          <t>FRANCA</t>
        </is>
      </c>
      <c r="B17" s="90" t="n"/>
      <c r="C17" s="85">
        <f>AC17</f>
        <v/>
      </c>
      <c r="D17" s="85">
        <f>C17*0.1818</f>
        <v/>
      </c>
      <c r="E17" s="85">
        <f>SUM(C17:D17)</f>
        <v/>
      </c>
      <c r="F17" s="85">
        <f>E17*0.1111</f>
        <v/>
      </c>
      <c r="G17" s="85">
        <f>E17*0.083</f>
        <v/>
      </c>
      <c r="H17" s="85">
        <f>SUM(E17:G17)*0.08</f>
        <v/>
      </c>
      <c r="I17" s="85">
        <f>IF(E17&lt;=$F$67,E17*$G$67,IF(E17&lt;=$F$68,E17*$G$68,IF(E17&lt;=$F$69,E17*$G$69,513.0125)))</f>
        <v/>
      </c>
      <c r="J17" s="22" t="n"/>
      <c r="K17" s="23" t="n"/>
      <c r="L17" s="23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SUM(M17:AA17)</f>
        <v/>
      </c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</row>
    <row r="18" ht="21" customFormat="1" customHeight="1" s="28">
      <c r="A18" s="83" t="inlineStr">
        <is>
          <t>FRANCA</t>
        </is>
      </c>
      <c r="B18" s="90" t="n"/>
      <c r="C18" s="85">
        <f>AC18</f>
        <v/>
      </c>
      <c r="D18" s="85">
        <f>C18*0.1818</f>
        <v/>
      </c>
      <c r="E18" s="85">
        <f>SUM(C18:D18)</f>
        <v/>
      </c>
      <c r="F18" s="85">
        <f>E18*0.1111</f>
        <v/>
      </c>
      <c r="G18" s="85">
        <f>E18*0.083</f>
        <v/>
      </c>
      <c r="H18" s="85">
        <f>SUM(E18:G18)*0.08</f>
        <v/>
      </c>
      <c r="I18" s="85">
        <f>IF(E18&lt;=$F$67,E18*$G$67,IF(E18&lt;=$F$68,E18*$G$68,IF(E18&lt;=$F$69,E18*$G$69,513.0125)))</f>
        <v/>
      </c>
      <c r="J18" s="22" t="n"/>
      <c r="K18" s="23" t="n"/>
      <c r="L18" s="23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SUM(M18:AA18)</f>
        <v/>
      </c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</row>
    <row r="19" ht="21" customFormat="1" customHeight="1" s="28">
      <c r="A19" s="83" t="inlineStr">
        <is>
          <t>FRANCA</t>
        </is>
      </c>
      <c r="B19" s="86" t="n"/>
      <c r="C19" s="85">
        <f>AC19</f>
        <v/>
      </c>
      <c r="D19" s="85">
        <f>C19*0.1818</f>
        <v/>
      </c>
      <c r="E19" s="85">
        <f>SUM(C19:D19)</f>
        <v/>
      </c>
      <c r="F19" s="85">
        <f>E19*0.1111</f>
        <v/>
      </c>
      <c r="G19" s="85">
        <f>E19*0.083</f>
        <v/>
      </c>
      <c r="H19" s="85">
        <f>SUM(E19:G19)*0.08</f>
        <v/>
      </c>
      <c r="I19" s="85">
        <f>IF(E19&lt;=$F$67,E19*$G$67,IF(E19&lt;=$F$68,E19*$G$68,IF(E19&lt;=$F$69,E19*$G$69,513.0125)))</f>
        <v/>
      </c>
      <c r="J19" s="22" t="n"/>
      <c r="K19" s="23" t="n"/>
      <c r="L19" s="23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SUM(M19:AA19)</f>
        <v/>
      </c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</row>
    <row r="20" ht="21" customFormat="1" customHeight="1" s="28">
      <c r="A20" s="83" t="inlineStr">
        <is>
          <t>FRANCA</t>
        </is>
      </c>
      <c r="B20" s="86" t="n"/>
      <c r="C20" s="85">
        <f>AC20</f>
        <v/>
      </c>
      <c r="D20" s="85">
        <f>C20*0.1818</f>
        <v/>
      </c>
      <c r="E20" s="85">
        <f>SUM(C20:D20)</f>
        <v/>
      </c>
      <c r="F20" s="85">
        <f>E20*0.1111</f>
        <v/>
      </c>
      <c r="G20" s="85">
        <f>E20*0.083</f>
        <v/>
      </c>
      <c r="H20" s="85">
        <f>SUM(E20:G20)*0.08</f>
        <v/>
      </c>
      <c r="I20" s="85">
        <f>IF(E20&lt;=$F$67,E20*$G$67,IF(E20&lt;=$F$68,E20*$G$68,IF(E20&lt;=$F$69,E20*$G$69,513.0125)))</f>
        <v/>
      </c>
      <c r="J20" s="22" t="n"/>
      <c r="K20" s="23" t="n"/>
      <c r="L20" s="23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SUM(M20:AA20)</f>
        <v/>
      </c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</row>
    <row r="21" ht="21" customFormat="1" customHeight="1" s="28">
      <c r="A21" s="83" t="inlineStr">
        <is>
          <t>FRANCA</t>
        </is>
      </c>
      <c r="B21" s="89" t="n"/>
      <c r="C21" s="85">
        <f>AC21</f>
        <v/>
      </c>
      <c r="D21" s="85">
        <f>C21*0.1818</f>
        <v/>
      </c>
      <c r="E21" s="85">
        <f>SUM(C21:D21)</f>
        <v/>
      </c>
      <c r="F21" s="85">
        <f>E21*0.1111</f>
        <v/>
      </c>
      <c r="G21" s="85">
        <f>E21*0.083</f>
        <v/>
      </c>
      <c r="H21" s="85">
        <f>SUM(E21:G21)*0.08</f>
        <v/>
      </c>
      <c r="I21" s="85">
        <f>IF(E21&lt;=$F$67,E21*$G$67,IF(E21&lt;=$F$68,E21*$G$68,IF(E21&lt;=$F$69,E21*$G$69,513.0125)))</f>
        <v/>
      </c>
      <c r="J21" s="22" t="n"/>
      <c r="K21" s="23" t="n"/>
      <c r="L21" s="23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SUM(M21:AA21)</f>
        <v/>
      </c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</row>
    <row r="22" ht="21" customFormat="1" customHeight="1" s="28">
      <c r="A22" s="83" t="inlineStr">
        <is>
          <t>FRANCA</t>
        </is>
      </c>
      <c r="B22" s="89" t="n"/>
      <c r="C22" s="85">
        <f>AC22</f>
        <v/>
      </c>
      <c r="D22" s="85">
        <f>C22*0.1818</f>
        <v/>
      </c>
      <c r="E22" s="85">
        <f>SUM(C22:D22)</f>
        <v/>
      </c>
      <c r="F22" s="85">
        <f>E22*0.1111</f>
        <v/>
      </c>
      <c r="G22" s="85">
        <f>E22*0.083</f>
        <v/>
      </c>
      <c r="H22" s="85">
        <f>SUM(E22:G22)*0.08</f>
        <v/>
      </c>
      <c r="I22" s="85">
        <f>IF(E22&lt;=$F$67,E22*$G$67,IF(E22&lt;=$F$68,E22*$G$68,IF(E22&lt;=$F$69,E22*$G$69,513.0125)))</f>
        <v/>
      </c>
      <c r="J22" s="22" t="n"/>
      <c r="K22" s="23" t="n"/>
      <c r="L22" s="23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SUM(M22:AA22)</f>
        <v/>
      </c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</row>
    <row r="23" ht="21" customFormat="1" customHeight="1" s="28">
      <c r="A23" s="83" t="inlineStr">
        <is>
          <t>FRANCA</t>
        </is>
      </c>
      <c r="B23" s="89" t="n"/>
      <c r="C23" s="85">
        <f>AC23</f>
        <v/>
      </c>
      <c r="D23" s="85">
        <f>C23*0.1818</f>
        <v/>
      </c>
      <c r="E23" s="85">
        <f>SUM(C23:D23)</f>
        <v/>
      </c>
      <c r="F23" s="85">
        <f>E23*0.1111</f>
        <v/>
      </c>
      <c r="G23" s="85">
        <f>E23*0.083</f>
        <v/>
      </c>
      <c r="H23" s="85">
        <f>SUM(E23:G23)*0.08</f>
        <v/>
      </c>
      <c r="I23" s="85">
        <f>IF(E23&lt;=$F$67,E23*$G$67,IF(E23&lt;=$F$68,E23*$G$68,IF(E23&lt;=$F$69,E23*$G$69,513.0125)))</f>
        <v/>
      </c>
      <c r="J23" s="22" t="n"/>
      <c r="K23" s="23" t="n"/>
      <c r="L23" s="23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SUM(M23:AA23)</f>
        <v/>
      </c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</row>
    <row r="24" ht="21" customFormat="1" customHeight="1" s="28">
      <c r="A24" s="83" t="inlineStr">
        <is>
          <t>FRANCA</t>
        </is>
      </c>
      <c r="B24" s="91" t="n"/>
      <c r="C24" s="85">
        <f>AC24</f>
        <v/>
      </c>
      <c r="D24" s="85">
        <f>C24*0.1818</f>
        <v/>
      </c>
      <c r="E24" s="85">
        <f>SUM(C24:D24)</f>
        <v/>
      </c>
      <c r="F24" s="85">
        <f>E24*0.1111</f>
        <v/>
      </c>
      <c r="G24" s="85">
        <f>E24*0.083</f>
        <v/>
      </c>
      <c r="H24" s="85">
        <f>SUM(E24:G24)*0.08</f>
        <v/>
      </c>
      <c r="I24" s="85">
        <f>IF(E24&lt;=$F$67,E24*$G$67,IF(E24&lt;=$F$68,E24*$G$68,IF(E24&lt;=$F$69,E24*$G$69,513.0125)))</f>
        <v/>
      </c>
      <c r="J24" s="22" t="n"/>
      <c r="K24" s="23" t="n"/>
      <c r="L24" s="23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SUM(M24:AA24)</f>
        <v/>
      </c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</row>
    <row r="25" ht="21" customFormat="1" customHeight="1" s="28">
      <c r="A25" s="83" t="inlineStr">
        <is>
          <t>FRANCA</t>
        </is>
      </c>
      <c r="B25" s="89" t="n"/>
      <c r="C25" s="85">
        <f>AC25</f>
        <v/>
      </c>
      <c r="D25" s="85">
        <f>C25*0.1818</f>
        <v/>
      </c>
      <c r="E25" s="85">
        <f>SUM(C25:D25)</f>
        <v/>
      </c>
      <c r="F25" s="85">
        <f>E25*0.1111</f>
        <v/>
      </c>
      <c r="G25" s="85">
        <f>E25*0.083</f>
        <v/>
      </c>
      <c r="H25" s="85">
        <f>SUM(E25:G25)*0.08</f>
        <v/>
      </c>
      <c r="I25" s="85">
        <f>IF(E25&lt;=$F$67,E25*$G$67,IF(E25&lt;=$F$68,E25*$G$68,IF(E25&lt;=$F$69,E25*$G$69,513.0125)))</f>
        <v/>
      </c>
      <c r="J25" s="22" t="n"/>
      <c r="K25" s="23" t="n"/>
      <c r="L25" s="23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SUM(M25:AA25)</f>
        <v/>
      </c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</row>
    <row r="26" ht="21" customFormat="1" customHeight="1" s="28">
      <c r="A26" s="83" t="n"/>
      <c r="B26" s="89" t="n"/>
      <c r="C26" s="85">
        <f>AC26</f>
        <v/>
      </c>
      <c r="D26" s="85">
        <f>C26*0.1818</f>
        <v/>
      </c>
      <c r="E26" s="85">
        <f>SUM(C26:D26)</f>
        <v/>
      </c>
      <c r="F26" s="85">
        <f>E26*0.1111</f>
        <v/>
      </c>
      <c r="G26" s="85">
        <f>E26*0.083</f>
        <v/>
      </c>
      <c r="H26" s="85">
        <f>SUM(E26:G26)*0.08</f>
        <v/>
      </c>
      <c r="I26" s="85">
        <f>IF(E26&lt;=$F$67,E26*$G$67,IF(E26&lt;=$F$68,E26*$G$68,IF(E26&lt;=$F$69,E26*$G$69,513.0125)))</f>
        <v/>
      </c>
      <c r="J26" s="22" t="n"/>
      <c r="K26" s="23" t="n"/>
      <c r="L26" s="23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SUM(M26:AA26)</f>
        <v/>
      </c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</row>
    <row r="27" ht="21" customFormat="1" customHeight="1" s="28" thickBot="1">
      <c r="A27" s="23" t="n"/>
      <c r="B27" s="35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43">
        <f>COUNT(M26:M26)</f>
        <v/>
      </c>
      <c r="N27" s="43">
        <f>COUNT(N26:N26)</f>
        <v/>
      </c>
      <c r="O27" s="43">
        <f>COUNT(O26:O26)</f>
        <v/>
      </c>
      <c r="P27" s="43">
        <f>COUNT(P26:P26)</f>
        <v/>
      </c>
      <c r="Q27" s="43">
        <f>COUNT(Q26:Q26)</f>
        <v/>
      </c>
      <c r="R27" s="43" t="n"/>
      <c r="S27" s="43">
        <f>COUNT(S26:S26)</f>
        <v/>
      </c>
      <c r="T27" s="43">
        <f>COUNT(T26:T26)</f>
        <v/>
      </c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23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</row>
    <row r="28" ht="21" customFormat="1" customHeight="1" s="28">
      <c r="J28" s="23" t="n"/>
      <c r="K28" s="23" t="n"/>
      <c r="L28" s="23" t="n"/>
      <c r="M28" s="44" t="inlineStr">
        <is>
          <t>TOTAL GERAL / BOLETIM ENSACADORES:</t>
        </is>
      </c>
      <c r="N28" s="45" t="n"/>
      <c r="O28" s="45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7" t="inlineStr">
        <is>
          <t>TOTAL:</t>
        </is>
      </c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 ht="21" customFormat="1" customHeight="1" s="28">
      <c r="J29" s="23" t="n"/>
      <c r="K29" s="23" t="n"/>
      <c r="L29" s="23" t="n"/>
      <c r="M29" s="48">
        <f>SUM(M6:M26)</f>
        <v/>
      </c>
      <c r="N29" s="48">
        <f>SUM(N6:N26)</f>
        <v/>
      </c>
      <c r="O29" s="48">
        <f>SUM(O6:O26)</f>
        <v/>
      </c>
      <c r="P29" s="48">
        <f>SUM(P6:P26)</f>
        <v/>
      </c>
      <c r="Q29" s="48">
        <f>SUM(Q6:Q26)</f>
        <v/>
      </c>
      <c r="R29" s="48">
        <f>SUM(R6:R26)</f>
        <v/>
      </c>
      <c r="S29" s="48">
        <f>SUM(S6:S26)</f>
        <v/>
      </c>
      <c r="T29" s="48">
        <f>SUM(T6:T26)</f>
        <v/>
      </c>
      <c r="U29" s="48">
        <f>SUM(U6:U26)</f>
        <v/>
      </c>
      <c r="V29" s="48">
        <f>SUM(V6:V26)</f>
        <v/>
      </c>
      <c r="W29" s="48">
        <f>SUM(W6:W26)</f>
        <v/>
      </c>
      <c r="X29" s="48">
        <f>SUM(X6:X26)</f>
        <v/>
      </c>
      <c r="Y29" s="48">
        <f>SUM(Y6:Y26)</f>
        <v/>
      </c>
      <c r="Z29" s="48">
        <f>SUM(Z6:Z26)</f>
        <v/>
      </c>
      <c r="AA29" s="48">
        <f>SUM(AA6:AA26)</f>
        <v/>
      </c>
      <c r="AB29" s="49" t="n"/>
      <c r="AC29" s="49" t="n"/>
      <c r="AD29" s="50">
        <f>SUM(M29:AB29)</f>
        <v/>
      </c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 ht="21" customFormat="1" customHeight="1" s="28" thickBot="1">
      <c r="J30" s="23" t="n"/>
      <c r="K30" s="23" t="n"/>
      <c r="L30" s="23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 ht="21.6" customFormat="1" customHeight="1" s="28" thickBot="1">
      <c r="A31" s="51" t="inlineStr">
        <is>
          <t>MÉDIA DIÁRIA CHAPAS</t>
        </is>
      </c>
      <c r="B31" s="51" t="n"/>
      <c r="C31" s="52" t="n">
        <v>11</v>
      </c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 ht="20.4" customFormat="1" customHeight="1" s="2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 ht="21.6" customFormat="1" customHeight="1" s="28" thickBot="1">
      <c r="A33" s="5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 ht="21" customFormat="1" customHeight="1" s="28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4" t="n"/>
      <c r="AF34" s="4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</row>
    <row r="35" ht="21" customFormat="1" customHeight="1" s="28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59" t="n">
        <v>46069</v>
      </c>
      <c r="N35" s="59" t="n">
        <v>46070</v>
      </c>
      <c r="O35" s="59" t="n">
        <v>46071</v>
      </c>
      <c r="P35" s="59" t="n">
        <v>46072</v>
      </c>
      <c r="Q35" s="59" t="n">
        <v>46073</v>
      </c>
      <c r="R35" s="59" t="n">
        <v>46074</v>
      </c>
      <c r="S35" s="59" t="n">
        <v>46075</v>
      </c>
      <c r="T35" s="59" t="n">
        <v>46076</v>
      </c>
      <c r="U35" s="59" t="n">
        <v>46077</v>
      </c>
      <c r="V35" s="59" t="n">
        <v>46078</v>
      </c>
      <c r="W35" s="59" t="n">
        <v>46079</v>
      </c>
      <c r="X35" s="59" t="n">
        <v>46080</v>
      </c>
      <c r="Y35" s="59" t="n">
        <v>46081</v>
      </c>
      <c r="Z35" s="59" t="n"/>
      <c r="AA35" s="59" t="n"/>
      <c r="AB35" s="59" t="n"/>
      <c r="AC35" s="21" t="inlineStr">
        <is>
          <t>TOTAL</t>
        </is>
      </c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</row>
    <row r="36" ht="21" customFormat="1" customHeight="1" s="28">
      <c r="A36" s="93" t="inlineStr">
        <is>
          <t>FRANCA</t>
        </is>
      </c>
      <c r="B36" s="84" t="inlineStr">
        <is>
          <t>CHAPA_06</t>
        </is>
      </c>
      <c r="C36" s="85">
        <f>AC36</f>
        <v/>
      </c>
      <c r="D36" s="85">
        <f>C36*0.1818</f>
        <v/>
      </c>
      <c r="E36" s="85">
        <f>SUM(C36:D36)</f>
        <v/>
      </c>
      <c r="F36" s="85">
        <f>E36*0.1111</f>
        <v/>
      </c>
      <c r="G36" s="85">
        <f>E36*0.083</f>
        <v/>
      </c>
      <c r="H36" s="85">
        <f>SUM(E36:G36)*0.08</f>
        <v/>
      </c>
      <c r="I36" s="85">
        <f>IF(E36&lt;=$F$67,E36*$G$67,IF(E36&lt;=$F$68,E36*$G$68,IF(E36&lt;=$F$69,E36*$G$69,513.0125)))</f>
        <v/>
      </c>
      <c r="J36" s="94">
        <f>IF(I5=0,0,VLOOKUP(#REF!,$B$6:$I$26,8,0))</f>
        <v/>
      </c>
      <c r="K36" s="95">
        <f>IF(E36+I36&lt;=$K$60,(E36+I36)*J70-J36,IF(E36+I36&lt;=$K$61,(E36+I36)*J71-J36,IF(E36+I36&lt;=$K$62,(E36+I36)*L72-J36,513.0125)))</f>
        <v/>
      </c>
      <c r="L36" s="22" t="n"/>
      <c r="M36" s="32" t="n">
        <v>83.70999999999999</v>
      </c>
      <c r="N36" s="32" t="n">
        <v>0</v>
      </c>
      <c r="O36" s="32" t="n">
        <v>112.76</v>
      </c>
      <c r="P36" s="32" t="n">
        <v>116.77</v>
      </c>
      <c r="Q36" s="32" t="n">
        <v>174.05</v>
      </c>
      <c r="R36" s="32" t="n">
        <v>0</v>
      </c>
      <c r="S36" s="32" t="n">
        <v>0</v>
      </c>
      <c r="T36" s="32" t="n">
        <v>119.41</v>
      </c>
      <c r="U36" s="32" t="n">
        <v>112.76</v>
      </c>
      <c r="V36" s="32" t="n">
        <v>112.76</v>
      </c>
      <c r="W36" s="32" t="n">
        <v>125.7</v>
      </c>
      <c r="X36" s="32" t="n">
        <v>117.13</v>
      </c>
      <c r="Y36" s="32" t="n">
        <v>89.69</v>
      </c>
      <c r="Z36" s="32" t="n"/>
      <c r="AA36" s="32" t="n"/>
      <c r="AB36" s="32" t="n"/>
      <c r="AC36" s="63">
        <f>SUM(M36:AA36)</f>
        <v/>
      </c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</row>
    <row r="37" ht="21" customFormat="1" customHeight="1" s="28">
      <c r="A37" s="93" t="inlineStr">
        <is>
          <t>FRANCA</t>
        </is>
      </c>
      <c r="B37" s="84" t="inlineStr">
        <is>
          <t>CHAPA_12</t>
        </is>
      </c>
      <c r="C37" s="95">
        <f>AC37</f>
        <v/>
      </c>
      <c r="D37" s="95">
        <f>C37*0.1818</f>
        <v/>
      </c>
      <c r="E37" s="95">
        <f>SUM(C37:D37)</f>
        <v/>
      </c>
      <c r="F37" s="95">
        <f>E37*0.1111</f>
        <v/>
      </c>
      <c r="G37" s="95">
        <f>E37*0.083</f>
        <v/>
      </c>
      <c r="H37" s="95">
        <f>SUM(E37:G37)*0.08</f>
        <v/>
      </c>
      <c r="I37" s="94">
        <f>AC6</f>
        <v/>
      </c>
      <c r="J37" s="94">
        <f>IF(I6=0,0,VLOOKUP(#REF!,$B$6:$I$26,8,0))</f>
        <v/>
      </c>
      <c r="K37" s="95">
        <f>IF(E37+I37&lt;=$K$60,(E37+I37)*J71-J37,IF(E37+I37&lt;=$K$61,(E37+I37)*J72-J37,IF(E37+I37&lt;=$K$62,(E37+I37)*L73-J37,513.0125)))</f>
        <v/>
      </c>
      <c r="L37" s="22" t="n"/>
      <c r="M37" s="32" t="n">
        <v>133.05</v>
      </c>
      <c r="N37" s="32" t="n">
        <v>0</v>
      </c>
      <c r="O37" s="32" t="n">
        <v>112.76</v>
      </c>
      <c r="P37" s="32" t="n">
        <v>116.77</v>
      </c>
      <c r="Q37" s="32" t="n">
        <v>174.05</v>
      </c>
      <c r="R37" s="32" t="n">
        <v>51.25</v>
      </c>
      <c r="S37" s="32" t="n">
        <v>0</v>
      </c>
      <c r="T37" s="32" t="n">
        <v>119.41</v>
      </c>
      <c r="U37" s="32" t="n">
        <v>112.76</v>
      </c>
      <c r="V37" s="32" t="n">
        <v>112.76</v>
      </c>
      <c r="W37" s="32" t="n">
        <v>125.7</v>
      </c>
      <c r="X37" s="32" t="n">
        <v>117.13</v>
      </c>
      <c r="Y37" s="32" t="n">
        <v>89.69</v>
      </c>
      <c r="Z37" s="32" t="n"/>
      <c r="AA37" s="32" t="n"/>
      <c r="AB37" s="32" t="n"/>
      <c r="AC37" s="63">
        <f>SUM(M37:AA37)</f>
        <v/>
      </c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</row>
    <row r="38" ht="21" customFormat="1" customHeight="1" s="28">
      <c r="A38" s="93" t="inlineStr">
        <is>
          <t>FRANCA</t>
        </is>
      </c>
      <c r="B38" s="84" t="inlineStr">
        <is>
          <t>CHAPA_14</t>
        </is>
      </c>
      <c r="C38" s="85">
        <f>AC38</f>
        <v/>
      </c>
      <c r="D38" s="85">
        <f>C38*0.1818</f>
        <v/>
      </c>
      <c r="E38" s="85">
        <f>SUM(C38:D38)</f>
        <v/>
      </c>
      <c r="F38" s="85">
        <f>E38*0.1111</f>
        <v/>
      </c>
      <c r="G38" s="85">
        <f>E38*0.083</f>
        <v/>
      </c>
      <c r="H38" s="85">
        <f>SUM(E38:G38)*0.08</f>
        <v/>
      </c>
      <c r="I38" s="85">
        <f>IF(E38&lt;=$F$67,E38*$G$67,IF(E38&lt;=$F$68,E38*$G$68,IF(E38&lt;=$F$69,E38*$G$69,513.0125)))</f>
        <v/>
      </c>
      <c r="J38" s="94">
        <f>IF(I8=0,0,VLOOKUP(B7,$B$6:$I$26,8,0))</f>
        <v/>
      </c>
      <c r="K38" s="95">
        <f>IF(E38+I38&lt;=$K$60,(E38+I38)*J72-J38,IF(E38+I38&lt;=$K$61,(E38+I38)*J73-J38,IF(E38+I38&lt;=$K$62,(E38+I38)*L74-J38,513.0125)))</f>
        <v/>
      </c>
      <c r="L38" s="22" t="n"/>
      <c r="M38" s="32" t="n">
        <v>126.07</v>
      </c>
      <c r="N38" s="32" t="n">
        <v>0</v>
      </c>
      <c r="O38" s="32" t="n">
        <v>112.76</v>
      </c>
      <c r="P38" s="32" t="n">
        <v>116.77</v>
      </c>
      <c r="Q38" s="32" t="n">
        <v>174.05</v>
      </c>
      <c r="R38" s="32" t="n">
        <v>0</v>
      </c>
      <c r="S38" s="32" t="n">
        <v>0</v>
      </c>
      <c r="T38" s="32" t="n">
        <v>119.41</v>
      </c>
      <c r="U38" s="32" t="n">
        <v>112.76</v>
      </c>
      <c r="V38" s="32" t="n">
        <v>112.76</v>
      </c>
      <c r="W38" s="32" t="n">
        <v>125.7</v>
      </c>
      <c r="X38" s="32" t="n">
        <v>117.13</v>
      </c>
      <c r="Y38" s="32" t="n">
        <v>89.69</v>
      </c>
      <c r="Z38" s="32" t="n"/>
      <c r="AA38" s="32" t="n"/>
      <c r="AB38" s="32" t="n"/>
      <c r="AC38" s="63">
        <f>SUM(M38:AA38)</f>
        <v/>
      </c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</row>
    <row r="39" ht="21" customFormat="1" customHeight="1" s="28">
      <c r="A39" s="93" t="inlineStr">
        <is>
          <t>FRANCA</t>
        </is>
      </c>
      <c r="B39" s="86" t="inlineStr">
        <is>
          <t>CHAPA_15</t>
        </is>
      </c>
      <c r="C39" s="85">
        <f>AC39</f>
        <v/>
      </c>
      <c r="D39" s="85">
        <f>C39*0.1818</f>
        <v/>
      </c>
      <c r="E39" s="85">
        <f>SUM(C39:D39)</f>
        <v/>
      </c>
      <c r="F39" s="85">
        <f>E39*0.1111</f>
        <v/>
      </c>
      <c r="G39" s="85">
        <f>E39*0.083</f>
        <v/>
      </c>
      <c r="H39" s="85">
        <f>SUM(E39:G39)*0.08</f>
        <v/>
      </c>
      <c r="I39" s="85">
        <f>IF(E39&lt;=$F$67,E39*$G$67,IF(E39&lt;=$F$68,E39*$G$68,IF(E39&lt;=$F$69,E39*$G$69,513.0125)))</f>
        <v/>
      </c>
      <c r="J39" s="94">
        <f>IF(I10=0,0,VLOOKUP(B48,$B$6:$I$26,8,0))</f>
        <v/>
      </c>
      <c r="K39" s="95">
        <f>IF(E39+I39&lt;=$K$60,(E39+I39)*J73-J39,IF(E39+I39&lt;=$K$61,(E39+I39)*J74-J39,IF(E39+I39&lt;=$K$62,(E39+I39)*L75-J39,513.0125)))</f>
        <v/>
      </c>
      <c r="L39" s="22" t="n"/>
      <c r="M39" s="32" t="n">
        <v>268.79</v>
      </c>
      <c r="N39" s="32" t="n">
        <v>0</v>
      </c>
      <c r="O39" s="32" t="n">
        <v>112.76</v>
      </c>
      <c r="P39" s="32" t="n">
        <v>116.77</v>
      </c>
      <c r="Q39" s="32" t="n">
        <v>174.05</v>
      </c>
      <c r="R39" s="32" t="n">
        <v>51.25</v>
      </c>
      <c r="S39" s="32" t="n">
        <v>0</v>
      </c>
      <c r="T39" s="32" t="n">
        <v>119.42</v>
      </c>
      <c r="U39" s="32" t="n">
        <v>112.76</v>
      </c>
      <c r="V39" s="32" t="n">
        <v>112.76</v>
      </c>
      <c r="W39" s="32" t="n">
        <v>125.7</v>
      </c>
      <c r="X39" s="32" t="n">
        <v>117.13</v>
      </c>
      <c r="Y39" s="32" t="n">
        <v>51.25</v>
      </c>
      <c r="Z39" s="32" t="n"/>
      <c r="AA39" s="32" t="n"/>
      <c r="AB39" s="32" t="n"/>
      <c r="AC39" s="63">
        <f>SUM(M39:AA39)</f>
        <v/>
      </c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</row>
    <row r="40" ht="21" customFormat="1" customHeight="1" s="28">
      <c r="A40" s="93" t="inlineStr">
        <is>
          <t>FRANCA</t>
        </is>
      </c>
      <c r="B40" s="87" t="inlineStr">
        <is>
          <t>CHAPA_17</t>
        </is>
      </c>
      <c r="C40" s="95">
        <f>AC40</f>
        <v/>
      </c>
      <c r="D40" s="95">
        <f>C40*0.1818</f>
        <v/>
      </c>
      <c r="E40" s="95">
        <f>SUM(C40:D40)</f>
        <v/>
      </c>
      <c r="F40" s="95">
        <f>E40*0.1111</f>
        <v/>
      </c>
      <c r="G40" s="95">
        <f>E40*0.083</f>
        <v/>
      </c>
      <c r="H40" s="95">
        <f>SUM(E40:G40)*0.08</f>
        <v/>
      </c>
      <c r="I40" s="94">
        <f>AC10</f>
        <v/>
      </c>
      <c r="J40" s="94">
        <f>IF(I10=0,0,VLOOKUP(B8,$B$6:$I$26,8,0))</f>
        <v/>
      </c>
      <c r="K40" s="95">
        <f>IF(E40+I40&lt;=$K$60,(E40+I40)*J74-J40,IF(E40+I40&lt;=$K$61,(E40+I40)*J75-J40,IF(E40+I40&lt;=$K$62,(E40+I40)*L76-J40,513.0125)))</f>
        <v/>
      </c>
      <c r="L40" s="22" t="n"/>
      <c r="M40" s="88" t="n">
        <v>573.35</v>
      </c>
      <c r="N40" s="88" t="n">
        <v>0</v>
      </c>
      <c r="O40" s="32" t="n">
        <v>112.76</v>
      </c>
      <c r="P40" s="32" t="n">
        <v>116.78</v>
      </c>
      <c r="Q40" s="32" t="n">
        <v>174.05</v>
      </c>
      <c r="R40" s="32" t="n">
        <v>51.25</v>
      </c>
      <c r="S40" s="88" t="n">
        <v>0</v>
      </c>
      <c r="T40" s="88" t="n">
        <v>51.26</v>
      </c>
      <c r="U40" s="32" t="n">
        <v>112.76</v>
      </c>
      <c r="V40" s="32" t="n">
        <v>112.76</v>
      </c>
      <c r="W40" s="32" t="n">
        <v>125.7</v>
      </c>
      <c r="X40" s="32" t="n">
        <v>136.35</v>
      </c>
      <c r="Y40" s="32" t="n">
        <v>51.25</v>
      </c>
      <c r="Z40" s="88" t="n"/>
      <c r="AA40" s="88" t="n"/>
      <c r="AB40" s="88" t="n"/>
      <c r="AC40" s="63">
        <f>SUM(M40:AA40)</f>
        <v/>
      </c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</row>
    <row r="41" ht="21" customFormat="1" customHeight="1" s="28">
      <c r="A41" s="93" t="inlineStr">
        <is>
          <t>FRANCA</t>
        </is>
      </c>
      <c r="B41" s="89" t="inlineStr">
        <is>
          <t>CHAPA_26</t>
        </is>
      </c>
      <c r="C41" s="85">
        <f>AC41</f>
        <v/>
      </c>
      <c r="D41" s="85">
        <f>C41*0.1818</f>
        <v/>
      </c>
      <c r="E41" s="85">
        <f>SUM(C41:D41)</f>
        <v/>
      </c>
      <c r="F41" s="85">
        <f>E41*0.1111</f>
        <v/>
      </c>
      <c r="G41" s="85">
        <f>E41*0.083</f>
        <v/>
      </c>
      <c r="H41" s="85">
        <f>SUM(E41:G41)*0.08</f>
        <v/>
      </c>
      <c r="I41" s="85">
        <f>IF(E41&lt;=$F$67,E41*$G$67,IF(E41&lt;=$F$68,E41*$G$68,IF(E41&lt;=$F$69,E41*$G$69,513.0125)))</f>
        <v/>
      </c>
      <c r="J41" s="94">
        <f>IF(I11=0,0,VLOOKUP(B9,$B$6:$I$26,8,0))</f>
        <v/>
      </c>
      <c r="K41" s="95">
        <f>IF(E41+I41&lt;=$K$60,(E41+I41)*J75-J41,IF(E41+I41&lt;=$K$61,(E41+I41)*J76-J41,IF(E41+I41&lt;=$K$62,(E41+I41)*L77-J41,513.0125)))</f>
        <v/>
      </c>
      <c r="L41" s="22" t="n"/>
      <c r="M41" s="32" t="n">
        <v>333.32</v>
      </c>
      <c r="N41" s="32" t="n">
        <v>0</v>
      </c>
      <c r="O41" s="32" t="n">
        <v>112.76</v>
      </c>
      <c r="P41" s="32" t="n">
        <v>116.78</v>
      </c>
      <c r="Q41" s="32" t="n">
        <v>174.06</v>
      </c>
      <c r="R41" s="32" t="n">
        <v>51.25</v>
      </c>
      <c r="S41" s="32" t="n">
        <v>0</v>
      </c>
      <c r="T41" s="32" t="n">
        <v>119.42</v>
      </c>
      <c r="U41" s="32" t="n">
        <v>112.76</v>
      </c>
      <c r="V41" s="32" t="n">
        <v>112.76</v>
      </c>
      <c r="W41" s="32" t="n">
        <v>125.7</v>
      </c>
      <c r="X41" s="32" t="n">
        <v>117.13</v>
      </c>
      <c r="Y41" s="32" t="n">
        <v>51.25</v>
      </c>
      <c r="Z41" s="32" t="n"/>
      <c r="AA41" s="32" t="n"/>
      <c r="AB41" s="32" t="n"/>
      <c r="AC41" s="63">
        <f>SUM(M41:AA41)</f>
        <v/>
      </c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</row>
    <row r="42" ht="21" customFormat="1" customHeight="1" s="28">
      <c r="A42" s="93" t="inlineStr">
        <is>
          <t>FRANCA</t>
        </is>
      </c>
      <c r="B42" s="89" t="inlineStr">
        <is>
          <t>CHAPA_37</t>
        </is>
      </c>
      <c r="C42" s="85">
        <f>AC42</f>
        <v/>
      </c>
      <c r="D42" s="85">
        <f>C42*0.1818</f>
        <v/>
      </c>
      <c r="E42" s="85">
        <f>SUM(C42:D42)</f>
        <v/>
      </c>
      <c r="F42" s="85">
        <f>E42*0.1111</f>
        <v/>
      </c>
      <c r="G42" s="85">
        <f>E42*0.083</f>
        <v/>
      </c>
      <c r="H42" s="85">
        <f>SUM(E42:G42)*0.08</f>
        <v/>
      </c>
      <c r="I42" s="85">
        <f>IF(E42&lt;=$F$67,E42*$G$67,IF(E42&lt;=$F$68,E42*$G$68,IF(E42&lt;=$F$69,E42*$G$69,513.0125)))</f>
        <v/>
      </c>
      <c r="J42" s="94">
        <f>IF(I13=0,0,VLOOKUP(#REF!,$B$6:$I$26,8,0))</f>
        <v/>
      </c>
      <c r="K42" s="95">
        <f>IF(E42+I42&lt;=$K$60,(E42+I42)*J77-J42,IF(E42+I42&lt;=$K$61,(E42+I42)*J78-J42,IF(E42+I42&lt;=$K$62,(E42+I42)*L79-J42,513.0125)))</f>
        <v/>
      </c>
      <c r="L42" s="22" t="n"/>
      <c r="M42" s="32" t="n">
        <v>276.07</v>
      </c>
      <c r="N42" s="32" t="n">
        <v>0</v>
      </c>
      <c r="O42" s="32" t="n">
        <v>112.76</v>
      </c>
      <c r="P42" s="32" t="n">
        <v>116.78</v>
      </c>
      <c r="Q42" s="32" t="n">
        <v>174.06</v>
      </c>
      <c r="R42" s="32" t="n">
        <v>0</v>
      </c>
      <c r="S42" s="32" t="n">
        <v>0</v>
      </c>
      <c r="T42" s="32" t="n">
        <v>119.42</v>
      </c>
      <c r="U42" s="32" t="n">
        <v>0</v>
      </c>
      <c r="V42" s="32" t="n">
        <v>131.98</v>
      </c>
      <c r="W42" s="32" t="n">
        <v>125.7</v>
      </c>
      <c r="X42" s="32" t="n">
        <v>117.13</v>
      </c>
      <c r="Y42" s="32" t="n">
        <v>51.25</v>
      </c>
      <c r="Z42" s="32" t="n"/>
      <c r="AA42" s="32" t="n"/>
      <c r="AB42" s="32" t="n"/>
      <c r="AC42" s="63">
        <f>SUM(M42:AA42)</f>
        <v/>
      </c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</row>
    <row r="43" ht="21" customFormat="1" customHeight="1" s="28">
      <c r="A43" s="93" t="inlineStr">
        <is>
          <t>FRANCA</t>
        </is>
      </c>
      <c r="B43" s="86" t="inlineStr">
        <is>
          <t>CHAPA_38</t>
        </is>
      </c>
      <c r="C43" s="95">
        <f>AC43</f>
        <v/>
      </c>
      <c r="D43" s="95">
        <f>C43*0.1818</f>
        <v/>
      </c>
      <c r="E43" s="95">
        <f>SUM(C43:D43)</f>
        <v/>
      </c>
      <c r="F43" s="95">
        <f>E43*0.1111</f>
        <v/>
      </c>
      <c r="G43" s="95">
        <f>E43*0.083</f>
        <v/>
      </c>
      <c r="H43" s="95">
        <f>SUM(E43:G43)*0.08</f>
        <v/>
      </c>
      <c r="I43" s="94">
        <f>AC15</f>
        <v/>
      </c>
      <c r="J43" s="94">
        <f>IF(I15=0,0,VLOOKUP(#REF!,$B$6:$I$26,8,0))</f>
        <v/>
      </c>
      <c r="K43" s="95">
        <f>IF(E43+I43&lt;=$K$60,(E43+I43)*J79-J43,IF(E43+I43&lt;=$K$61,(E43+I43)*J80-J43,IF(E43+I43&lt;=$K$62,(E43+I43)*L81-J43,513.0125)))</f>
        <v/>
      </c>
      <c r="L43" s="22" t="n"/>
      <c r="M43" s="32" t="n">
        <v>349.92</v>
      </c>
      <c r="N43" s="32" t="n">
        <v>0</v>
      </c>
      <c r="O43" s="32" t="n">
        <v>112.76</v>
      </c>
      <c r="P43" s="32" t="n">
        <v>126.38</v>
      </c>
      <c r="Q43" s="32" t="n">
        <v>174.06</v>
      </c>
      <c r="R43" s="32" t="n">
        <v>51.25</v>
      </c>
      <c r="S43" s="32" t="n">
        <v>0</v>
      </c>
      <c r="T43" s="32" t="n">
        <v>138.64</v>
      </c>
      <c r="U43" s="32" t="n">
        <v>112.76</v>
      </c>
      <c r="V43" s="32" t="n">
        <v>112.76</v>
      </c>
      <c r="W43" s="32" t="n">
        <v>125.7</v>
      </c>
      <c r="X43" s="32" t="n">
        <v>136.35</v>
      </c>
      <c r="Y43" s="32" t="n">
        <v>51.25</v>
      </c>
      <c r="Z43" s="32" t="n"/>
      <c r="AA43" s="32" t="n"/>
      <c r="AB43" s="32" t="n"/>
      <c r="AC43" s="63">
        <f>SUM(M43:AA43)</f>
        <v/>
      </c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</row>
    <row r="44" ht="21" customFormat="1" customHeight="1" s="28">
      <c r="A44" s="93" t="inlineStr">
        <is>
          <t>FRANCA</t>
        </is>
      </c>
      <c r="B44" s="86" t="inlineStr">
        <is>
          <t>CHAPA_41</t>
        </is>
      </c>
      <c r="C44" s="95">
        <f>AC44</f>
        <v/>
      </c>
      <c r="D44" s="95">
        <f>C44*0.1818</f>
        <v/>
      </c>
      <c r="E44" s="95">
        <f>SUM(C44:D44)</f>
        <v/>
      </c>
      <c r="F44" s="95">
        <f>E44*0.1111</f>
        <v/>
      </c>
      <c r="G44" s="95">
        <f>E44*0.083</f>
        <v/>
      </c>
      <c r="H44" s="95">
        <f>SUM(E44:G44)*0.08</f>
        <v/>
      </c>
      <c r="I44" s="94">
        <f>AC16</f>
        <v/>
      </c>
      <c r="J44" s="94">
        <f>IF(I16=0,0,VLOOKUP(B9,$B$6:$I$26,8,0))</f>
        <v/>
      </c>
      <c r="K44" s="95">
        <f>IF(E44+I44&lt;=$K$60,(E44+I44)*J80-J44,IF(E44+I44&lt;=$K$61,(E44+I44)*J81-J44,IF(E44+I44&lt;=$K$62,(E44+I44)*L82-J44,513.0125)))</f>
        <v/>
      </c>
      <c r="L44" s="22" t="n"/>
      <c r="M44" s="32" t="n">
        <v>339.49</v>
      </c>
      <c r="N44" s="32" t="n">
        <v>0</v>
      </c>
      <c r="O44" s="32" t="n">
        <v>112.76</v>
      </c>
      <c r="P44" s="32" t="n">
        <v>116.78</v>
      </c>
      <c r="Q44" s="32" t="n">
        <v>174.06</v>
      </c>
      <c r="R44" s="32" t="n">
        <v>38.44</v>
      </c>
      <c r="S44" s="32" t="n">
        <v>0</v>
      </c>
      <c r="T44" s="32" t="n">
        <v>0</v>
      </c>
      <c r="U44" s="32" t="n">
        <v>112.76</v>
      </c>
      <c r="V44" s="32" t="n">
        <v>112.76</v>
      </c>
      <c r="W44" s="32" t="n">
        <v>125.7</v>
      </c>
      <c r="X44" s="32" t="n">
        <v>117.13</v>
      </c>
      <c r="Y44" s="32" t="n">
        <v>51.25</v>
      </c>
      <c r="Z44" s="32" t="n"/>
      <c r="AA44" s="32" t="n"/>
      <c r="AB44" s="32" t="n"/>
      <c r="AC44" s="63">
        <f>SUM(M44:AA44)</f>
        <v/>
      </c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</row>
    <row r="45" ht="21" customFormat="1" customHeight="1" s="28">
      <c r="A45" s="93" t="inlineStr">
        <is>
          <t>FRANCA</t>
        </is>
      </c>
      <c r="B45" s="86" t="inlineStr">
        <is>
          <t>CHAPA_43</t>
        </is>
      </c>
      <c r="C45" s="95">
        <f>AC45</f>
        <v/>
      </c>
      <c r="D45" s="95">
        <f>C45*0.1818</f>
        <v/>
      </c>
      <c r="E45" s="95">
        <f>SUM(C45:D45)</f>
        <v/>
      </c>
      <c r="F45" s="95">
        <f>E45*0.1111</f>
        <v/>
      </c>
      <c r="G45" s="95">
        <f>E45*0.083</f>
        <v/>
      </c>
      <c r="H45" s="95">
        <f>SUM(E45:G45)*0.08</f>
        <v/>
      </c>
      <c r="I45" s="94">
        <f>AC17</f>
        <v/>
      </c>
      <c r="J45" s="94">
        <f>IF(I17=0,0,VLOOKUP(B10,$B$6:$I$26,8,0))</f>
        <v/>
      </c>
      <c r="K45" s="95">
        <f>IF(E45+I45&lt;=$K$60,(E45+I45)*J81-J45,IF(E45+I45&lt;=$K$61,(E45+I45)*J82-J45,IF(E45+I45&lt;=$K$62,(E45+I45)*L83-J45,513.0125)))</f>
        <v/>
      </c>
      <c r="L45" s="22" t="n"/>
      <c r="M45" s="32" t="n">
        <v>298.26</v>
      </c>
      <c r="N45" s="32" t="n">
        <v>0</v>
      </c>
      <c r="O45" s="32" t="n">
        <v>112.76</v>
      </c>
      <c r="P45" s="32" t="n">
        <v>116.78</v>
      </c>
      <c r="Q45" s="32" t="n">
        <v>102.52</v>
      </c>
      <c r="R45" s="32" t="n">
        <v>0</v>
      </c>
      <c r="S45" s="32" t="n">
        <v>0</v>
      </c>
      <c r="T45" s="32" t="n">
        <v>119.42</v>
      </c>
      <c r="U45" s="32" t="n">
        <v>112.76</v>
      </c>
      <c r="V45" s="32" t="n">
        <v>112.76</v>
      </c>
      <c r="W45" s="32" t="n">
        <v>125.7</v>
      </c>
      <c r="X45" s="32" t="n">
        <v>117.13</v>
      </c>
      <c r="Y45" s="32" t="n">
        <v>51.25</v>
      </c>
      <c r="Z45" s="32" t="n"/>
      <c r="AA45" s="32" t="n"/>
      <c r="AB45" s="32" t="n"/>
      <c r="AC45" s="63">
        <f>SUM(M45:AA45)</f>
        <v/>
      </c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</row>
    <row r="46" ht="21" customFormat="1" customHeight="1" s="28">
      <c r="A46" s="93" t="inlineStr">
        <is>
          <t>FRANCA</t>
        </is>
      </c>
      <c r="B46" s="84" t="inlineStr">
        <is>
          <t>CHAPA_46</t>
        </is>
      </c>
      <c r="C46" s="95">
        <f>AC46</f>
        <v/>
      </c>
      <c r="D46" s="95">
        <f>C46*0.1818</f>
        <v/>
      </c>
      <c r="E46" s="95">
        <f>SUM(C46:D46)</f>
        <v/>
      </c>
      <c r="F46" s="95">
        <f>E46*0.1111</f>
        <v/>
      </c>
      <c r="G46" s="95">
        <f>E46*0.083</f>
        <v/>
      </c>
      <c r="H46" s="95">
        <f>SUM(E46:G46)*0.08</f>
        <v/>
      </c>
      <c r="I46" s="94">
        <f>AC18</f>
        <v/>
      </c>
      <c r="J46" s="94">
        <f>IF(I18=0,0,VLOOKUP(B12,$B$6:$I$26,8,0))</f>
        <v/>
      </c>
      <c r="K46" s="95">
        <f>IF(E46+I46&lt;=$K$60,(E46+I46)*J82-J46,IF(E46+I46&lt;=$K$61,(E46+I46)*J83-J46,IF(E46+I46&lt;=$K$62,(E46+I46)*L84-J46,513.0125)))</f>
        <v/>
      </c>
      <c r="L46" s="22" t="n"/>
      <c r="M46" s="32" t="n">
        <v>165.06</v>
      </c>
      <c r="N46" s="32" t="n">
        <v>0</v>
      </c>
      <c r="O46" s="32" t="n">
        <v>112.76</v>
      </c>
      <c r="P46" s="32" t="n">
        <v>89.69</v>
      </c>
      <c r="Q46" s="32" t="n">
        <v>102.52</v>
      </c>
      <c r="R46" s="32" t="n">
        <v>51.25</v>
      </c>
      <c r="S46" s="32" t="n">
        <v>0</v>
      </c>
      <c r="T46" s="32" t="n">
        <v>0</v>
      </c>
      <c r="U46" s="32" t="n">
        <v>0</v>
      </c>
      <c r="V46" s="32" t="n">
        <v>0</v>
      </c>
      <c r="W46" s="32" t="n">
        <v>125.69</v>
      </c>
      <c r="X46" s="32" t="n">
        <v>89.69</v>
      </c>
      <c r="Y46" s="32" t="n">
        <v>44.85</v>
      </c>
      <c r="Z46" s="32" t="n"/>
      <c r="AA46" s="32" t="n"/>
      <c r="AB46" s="32" t="n"/>
      <c r="AC46" s="63">
        <f>SUM(M46:AA46)</f>
        <v/>
      </c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</row>
    <row r="47" ht="21" customFormat="1" customHeight="1" s="28">
      <c r="A47" s="93" t="inlineStr">
        <is>
          <t>FRANCA</t>
        </is>
      </c>
      <c r="B47" s="84" t="inlineStr">
        <is>
          <t>CHAPA_42</t>
        </is>
      </c>
      <c r="C47" s="95" t="n">
        <v>0</v>
      </c>
      <c r="D47" s="95">
        <f>C47*0.1818</f>
        <v/>
      </c>
      <c r="E47" s="95">
        <f>SUM(C47:D47)</f>
        <v/>
      </c>
      <c r="F47" s="95">
        <f>E47*0.1111</f>
        <v/>
      </c>
      <c r="G47" s="95">
        <f>E47*0.083</f>
        <v/>
      </c>
      <c r="H47" s="95">
        <f>SUM(E47:G47)*0.08</f>
        <v/>
      </c>
      <c r="I47" s="94">
        <f>AC19</f>
        <v/>
      </c>
      <c r="J47" s="94">
        <f>IF(I19=0,0,VLOOKUP(#REF!,$B$6:$I$26,8,0))</f>
        <v/>
      </c>
      <c r="K47" s="95">
        <f>IF(E47+I47&lt;=$K$60,(E47+I47)*J83-J47,IF(E47+I47&lt;=$K$61,(E47+I47)*J84-J47,IF(E47+I47&lt;=$K$62,(E47+I47)*L85-J47,513.0125)))</f>
        <v/>
      </c>
      <c r="L47" s="22" t="n"/>
      <c r="M47" s="32" t="n">
        <v>37.98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</v>
      </c>
      <c r="Y47" s="32" t="n">
        <v>0</v>
      </c>
      <c r="Z47" s="32" t="n"/>
      <c r="AA47" s="32" t="n"/>
      <c r="AB47" s="32" t="n"/>
      <c r="AC47" s="63">
        <f>SUM(M47:AA47)</f>
        <v/>
      </c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</row>
    <row r="48" ht="21" customFormat="1" customHeight="1" s="28">
      <c r="A48" s="93" t="inlineStr">
        <is>
          <t>FRANCA</t>
        </is>
      </c>
      <c r="B48" s="89" t="inlineStr">
        <is>
          <t>CHAPA_45</t>
        </is>
      </c>
      <c r="C48" s="95">
        <f>AC48</f>
        <v/>
      </c>
      <c r="D48" s="95">
        <f>C48*0.1818</f>
        <v/>
      </c>
      <c r="E48" s="95">
        <f>SUM(C48:D48)</f>
        <v/>
      </c>
      <c r="F48" s="95">
        <f>E48*0.1111</f>
        <v/>
      </c>
      <c r="G48" s="95">
        <f>E48*0.083</f>
        <v/>
      </c>
      <c r="H48" s="95">
        <f>SUM(E48:G48)*0.08</f>
        <v/>
      </c>
      <c r="I48" s="94">
        <f>AC20</f>
        <v/>
      </c>
      <c r="J48" s="94">
        <f>IF(I20=0,0,VLOOKUP(B14,$B$6:$I$26,8,0))</f>
        <v/>
      </c>
      <c r="K48" s="95">
        <f>IF(E48+I48&lt;=$K$60,(E48+I48)*J84-J48,IF(E48+I48&lt;=$K$61,(E48+I48)*J85-J48,IF(E48+I48&lt;=$K$62,(E48+I48)*L86-J48,513.0125)))</f>
        <v/>
      </c>
      <c r="L48" s="22" t="n"/>
      <c r="M48" s="96" t="n">
        <v>274.35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32" t="n">
        <v>0</v>
      </c>
      <c r="W48" s="32" t="n">
        <v>0</v>
      </c>
      <c r="X48" s="32" t="n">
        <v>0</v>
      </c>
      <c r="Y48" s="32" t="n">
        <v>0</v>
      </c>
      <c r="Z48" s="97" t="n"/>
      <c r="AA48" s="97" t="n"/>
      <c r="AB48" s="97" t="n"/>
      <c r="AC48" s="63">
        <f>SUM(M48:AA48)</f>
        <v/>
      </c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</row>
    <row r="49" ht="21" customFormat="1" customHeight="1" s="28">
      <c r="A49" s="93" t="inlineStr">
        <is>
          <t>FRANCA</t>
        </is>
      </c>
      <c r="B49" s="86" t="n"/>
      <c r="C49" s="95">
        <f>AC49</f>
        <v/>
      </c>
      <c r="D49" s="95">
        <f>C49*0.1818</f>
        <v/>
      </c>
      <c r="E49" s="95">
        <f>SUM(C49:D49)</f>
        <v/>
      </c>
      <c r="F49" s="95">
        <f>E49*0.1111</f>
        <v/>
      </c>
      <c r="G49" s="95">
        <f>E49*0.083</f>
        <v/>
      </c>
      <c r="H49" s="95">
        <f>SUM(E49:G49)*0.08</f>
        <v/>
      </c>
      <c r="I49" s="94">
        <f>AC21</f>
        <v/>
      </c>
      <c r="J49" s="94">
        <f>IF(I21=0,0,VLOOKUP(B16,$B$6:$I$26,8,0))</f>
        <v/>
      </c>
      <c r="K49" s="95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63">
        <f>SUM(M49:AA49)</f>
        <v/>
      </c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</row>
    <row r="50" ht="21" customFormat="1" customHeight="1" s="28">
      <c r="A50" s="93" t="inlineStr">
        <is>
          <t>FRANCA</t>
        </is>
      </c>
      <c r="B50" s="86" t="n"/>
      <c r="C50" s="95">
        <f>AC50</f>
        <v/>
      </c>
      <c r="D50" s="95">
        <f>C50*0.1818</f>
        <v/>
      </c>
      <c r="E50" s="95">
        <f>SUM(C50:D50)</f>
        <v/>
      </c>
      <c r="F50" s="95">
        <f>E50*0.1111</f>
        <v/>
      </c>
      <c r="G50" s="95">
        <f>E50*0.083</f>
        <v/>
      </c>
      <c r="H50" s="95">
        <f>SUM(E50:G50)*0.08</f>
        <v/>
      </c>
      <c r="I50" s="94">
        <f>AC22</f>
        <v/>
      </c>
      <c r="J50" s="94">
        <f>IF(I22=0,0,VLOOKUP(#REF!,$B$6:$I$26,8,0))</f>
        <v/>
      </c>
      <c r="K50" s="95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63">
        <f>SUM(M50:AB50)</f>
        <v/>
      </c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</row>
    <row r="51" ht="21" customFormat="1" customHeight="1" s="28">
      <c r="A51" s="93" t="inlineStr">
        <is>
          <t>FRANCA</t>
        </is>
      </c>
      <c r="B51" s="90" t="n"/>
      <c r="C51" s="95">
        <f>AC51</f>
        <v/>
      </c>
      <c r="D51" s="95">
        <f>C51*0.1818</f>
        <v/>
      </c>
      <c r="E51" s="95">
        <f>SUM(C51:D51)</f>
        <v/>
      </c>
      <c r="F51" s="95">
        <f>E51*0.1111</f>
        <v/>
      </c>
      <c r="G51" s="95">
        <f>E51*0.083</f>
        <v/>
      </c>
      <c r="H51" s="95">
        <f>SUM(E51:G51)*0.08</f>
        <v/>
      </c>
      <c r="I51" s="94">
        <f>AC23</f>
        <v/>
      </c>
      <c r="J51" s="94">
        <f>IF(I23=0,0,VLOOKUP(#REF!,$B$6:$I$26,8,0))</f>
        <v/>
      </c>
      <c r="K51" s="95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63">
        <f>SUM(M51:AA51)</f>
        <v/>
      </c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</row>
    <row r="52" ht="21" customFormat="1" customHeight="1" s="28">
      <c r="A52" s="93" t="inlineStr">
        <is>
          <t>FRANCA</t>
        </is>
      </c>
      <c r="B52" s="90" t="n"/>
      <c r="C52" s="95">
        <f>AC52</f>
        <v/>
      </c>
      <c r="D52" s="95">
        <f>C52*0.1818</f>
        <v/>
      </c>
      <c r="E52" s="95">
        <f>SUM(C52:D52)</f>
        <v/>
      </c>
      <c r="F52" s="95">
        <f>E52*0.1111</f>
        <v/>
      </c>
      <c r="G52" s="95">
        <f>E52*0.083</f>
        <v/>
      </c>
      <c r="H52" s="95">
        <f>SUM(E52:G52)*0.08</f>
        <v/>
      </c>
      <c r="I52" s="94">
        <f>AC24</f>
        <v/>
      </c>
      <c r="J52" s="94">
        <f>IF(I24=0,0,VLOOKUP(#REF!,$B$6:$I$26,8,0))</f>
        <v/>
      </c>
      <c r="K52" s="95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3">
        <f>SUM(M52:AA52)</f>
        <v/>
      </c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</row>
    <row r="53" ht="21" customFormat="1" customHeight="1" s="28">
      <c r="A53" s="93" t="inlineStr">
        <is>
          <t>FRANCA</t>
        </is>
      </c>
      <c r="B53" s="90" t="n"/>
      <c r="C53" s="95">
        <f>AC53</f>
        <v/>
      </c>
      <c r="D53" s="95">
        <f>C53*0.1818</f>
        <v/>
      </c>
      <c r="E53" s="95">
        <f>SUM(C53:D53)</f>
        <v/>
      </c>
      <c r="F53" s="95">
        <f>E53*0.1111</f>
        <v/>
      </c>
      <c r="G53" s="95">
        <f>E53*0.083</f>
        <v/>
      </c>
      <c r="H53" s="95">
        <f>SUM(E53:G53)*0.08</f>
        <v/>
      </c>
      <c r="I53" s="94">
        <f>AC25</f>
        <v/>
      </c>
      <c r="J53" s="94">
        <f>IF(I25=0,0,VLOOKUP(#REF!,$B$6:$I$26,8,0))</f>
        <v/>
      </c>
      <c r="K53" s="95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3">
        <f>SUM(M53:AA53)</f>
        <v/>
      </c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</row>
    <row r="54" ht="21" customFormat="1" customHeight="1" s="28">
      <c r="A54" s="93" t="inlineStr">
        <is>
          <t>FRANCA</t>
        </is>
      </c>
      <c r="B54" s="90" t="n"/>
      <c r="C54" s="95">
        <f>AC54</f>
        <v/>
      </c>
      <c r="D54" s="95">
        <f>C54*0.1818</f>
        <v/>
      </c>
      <c r="E54" s="95">
        <f>SUM(C54:D54)</f>
        <v/>
      </c>
      <c r="F54" s="95">
        <f>E54*0.1111</f>
        <v/>
      </c>
      <c r="G54" s="95">
        <f>E54*0.083</f>
        <v/>
      </c>
      <c r="H54" s="95">
        <f>SUM(E54:G54)*0.08</f>
        <v/>
      </c>
      <c r="I54" s="94">
        <f>AC26</f>
        <v/>
      </c>
      <c r="J54" s="94">
        <f>IF(I26=0,0,VLOOKUP(#REF!,$B$6:$I$26,8,0))</f>
        <v/>
      </c>
      <c r="K54" s="95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3">
        <f>SUM(M54:AA54)</f>
        <v/>
      </c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</row>
    <row r="55" ht="21" customFormat="1" customHeight="1" s="28" thickBot="1">
      <c r="A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43" t="n"/>
      <c r="N55" s="43" t="n">
        <v>29</v>
      </c>
      <c r="O55" s="43">
        <f>COUNT(#REF!)</f>
        <v/>
      </c>
      <c r="P55" s="43">
        <f>COUNT(#REF!)</f>
        <v/>
      </c>
      <c r="Q55" s="43">
        <f>COUNT(#REF!)</f>
        <v/>
      </c>
      <c r="R55" s="43" t="n"/>
      <c r="S55" s="43">
        <f>COUNT(#REF!)</f>
        <v/>
      </c>
      <c r="T55" s="43">
        <f>COUNT(#REF!)</f>
        <v/>
      </c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23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</row>
    <row r="56" ht="21" customFormat="1" customHeight="1" s="28">
      <c r="L56" s="23" t="n"/>
      <c r="M56" s="44" t="inlineStr">
        <is>
          <t>TOTAL GERAL / BOLETIM ENSACADORES:</t>
        </is>
      </c>
      <c r="N56" s="45" t="n"/>
      <c r="O56" s="45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7" t="inlineStr">
        <is>
          <t>TOTAL:</t>
        </is>
      </c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</row>
    <row r="57" ht="22.8" customFormat="1" customHeight="1" s="28">
      <c r="L57" s="23" t="n"/>
      <c r="M57" s="48">
        <f>SUM(M36:M54)</f>
        <v/>
      </c>
      <c r="N57" s="48">
        <f>SUM(N36:N54)</f>
        <v/>
      </c>
      <c r="O57" s="48">
        <f>SUM(O36:O54)</f>
        <v/>
      </c>
      <c r="P57" s="48">
        <f>SUM(P36:P54)</f>
        <v/>
      </c>
      <c r="Q57" s="48">
        <f>SUM(Q36:Q54)</f>
        <v/>
      </c>
      <c r="R57" s="48">
        <f>SUM(R36:R54)</f>
        <v/>
      </c>
      <c r="S57" s="48">
        <f>SUM(S36:S54)</f>
        <v/>
      </c>
      <c r="T57" s="48">
        <f>SUM(T36:T54)</f>
        <v/>
      </c>
      <c r="U57" s="48">
        <f>SUM(U36:U54)</f>
        <v/>
      </c>
      <c r="V57" s="48">
        <f>SUM(V36:V54)</f>
        <v/>
      </c>
      <c r="W57" s="48">
        <f>SUM(W36:W54)</f>
        <v/>
      </c>
      <c r="X57" s="48">
        <f>SUM(X36:X54)</f>
        <v/>
      </c>
      <c r="Y57" s="48">
        <f>SUM(Y36:Y54)</f>
        <v/>
      </c>
      <c r="Z57" s="48">
        <f>SUM(Z36:Z54)</f>
        <v/>
      </c>
      <c r="AA57" s="48">
        <f>SUM(AA36:AA54)</f>
        <v/>
      </c>
      <c r="AB57" s="48">
        <f>SUM(AB36:AB54)</f>
        <v/>
      </c>
      <c r="AC57" s="49" t="n"/>
      <c r="AD57" s="50">
        <f>SUM(M57:AB57)</f>
        <v/>
      </c>
      <c r="AE57" s="27" t="n"/>
      <c r="AF57" s="71" t="inlineStr">
        <is>
          <t>TOTAL FATURA</t>
        </is>
      </c>
      <c r="AG57" s="71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</row>
    <row r="58" ht="22.8" customFormat="1" customHeight="1" s="28">
      <c r="L58" s="23" t="n"/>
      <c r="AE58" s="27" t="n"/>
      <c r="AF58" s="161">
        <f>SUM(AD29,AD57)</f>
        <v/>
      </c>
      <c r="AG58" s="162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</row>
    <row r="59" ht="21" customFormat="1" customHeight="1" s="28" thickBot="1">
      <c r="L59" s="23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</row>
    <row r="60" ht="21.6" customFormat="1" customHeight="1" s="28" thickBot="1">
      <c r="A60" s="75" t="inlineStr">
        <is>
          <t>MÉDIA DIARIA CHAPAS</t>
        </is>
      </c>
      <c r="B60" s="156" t="n"/>
      <c r="C60" s="52" t="n">
        <v>11</v>
      </c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</row>
    <row r="61" ht="20.4" customFormat="1" customHeight="1" s="28"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</row>
    <row r="62" ht="21" customFormat="1" customHeight="1" s="28">
      <c r="A62" s="80" t="n"/>
      <c r="B62" s="23" t="n"/>
      <c r="C62" s="76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</row>
    <row r="63" ht="25.8" customFormat="1" customHeight="1" s="28">
      <c r="A63" s="81" t="n"/>
      <c r="B63" s="82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</row>
    <row r="64" ht="21" customFormat="1" customHeight="1" s="28">
      <c r="A64" s="34" t="n"/>
      <c r="B64" s="34" t="n"/>
      <c r="C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</row>
    <row r="65" ht="21" customFormat="1" customHeight="1" s="28">
      <c r="A65" s="34" t="n"/>
      <c r="B65" s="34" t="n"/>
      <c r="C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</row>
    <row r="66" ht="21" customFormat="1" customHeight="1" s="28">
      <c r="A66" s="34" t="n"/>
      <c r="B66" s="34" t="n"/>
      <c r="C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</row>
    <row r="67" ht="21" customFormat="1" customHeight="1" s="28">
      <c r="A67" s="34" t="n"/>
      <c r="B67" s="34" t="n"/>
      <c r="C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</row>
    <row r="68" ht="21" customFormat="1" customHeight="1" s="28">
      <c r="A68" s="34" t="n"/>
      <c r="B68" s="34" t="n"/>
      <c r="C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</row>
    <row r="69" ht="21" customFormat="1" customHeight="1" s="28">
      <c r="A69" s="34" t="n"/>
      <c r="B69" s="34" t="n"/>
      <c r="C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  <c r="AD69" s="34" t="n"/>
    </row>
    <row r="70" ht="21" customFormat="1" customHeight="1" s="28">
      <c r="A70" s="34" t="n"/>
      <c r="B70" s="34" t="n"/>
      <c r="C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</row>
    <row r="71" ht="21" customFormat="1" customHeight="1" s="28">
      <c r="A71" s="34" t="n"/>
      <c r="B71" s="34" t="n"/>
      <c r="C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</row>
    <row r="72" customFormat="1" s="28"/>
    <row r="73" customFormat="1" s="28"/>
    <row r="74" customFormat="1" s="28"/>
    <row r="75" customFormat="1" s="28"/>
    <row r="76" customFormat="1" s="28"/>
    <row r="77" customFormat="1" s="28"/>
    <row r="78" customFormat="1" s="28"/>
    <row r="79" customFormat="1" s="28"/>
    <row r="80" customFormat="1" s="28"/>
    <row r="81" customFormat="1" s="28"/>
    <row r="82" customFormat="1" s="28"/>
    <row r="83" customFormat="1" s="28"/>
    <row r="84" customFormat="1" s="28"/>
    <row r="85" customFormat="1" s="28"/>
    <row r="86" customFormat="1" s="28"/>
    <row r="87" customFormat="1" s="28"/>
    <row r="88" customFormat="1" s="28"/>
    <row r="89" customFormat="1" s="28"/>
    <row r="90" customFormat="1" s="28"/>
    <row r="91" customFormat="1" s="28"/>
    <row r="92" customFormat="1" s="28"/>
    <row r="93" customFormat="1" s="28"/>
    <row r="94" customFormat="1" s="28"/>
    <row r="95" customFormat="1" s="28"/>
    <row r="96" customFormat="1" s="28"/>
    <row r="97" customFormat="1" s="28"/>
    <row r="98" customFormat="1" s="28"/>
    <row r="99" customFormat="1" s="28"/>
    <row r="100" customFormat="1" s="28"/>
    <row r="101" customFormat="1" s="28"/>
    <row r="102" customFormat="1" s="28"/>
    <row r="103" customFormat="1" s="28"/>
    <row r="104" customFormat="1" s="28"/>
    <row r="105" customFormat="1" s="28"/>
    <row r="106" customFormat="1" s="28"/>
    <row r="107" customFormat="1" s="28"/>
    <row r="108" customFormat="1" s="28"/>
    <row r="109" customFormat="1" s="28"/>
    <row r="110" customFormat="1" s="28"/>
    <row r="111" customFormat="1" s="28"/>
    <row r="112" customFormat="1" s="28"/>
    <row r="113" customFormat="1" s="28"/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AD114" s="28" t="n"/>
      <c r="AE114" s="28" t="n"/>
      <c r="AF114" s="28" t="n"/>
      <c r="AG114" s="28" t="n"/>
      <c r="AH114" s="28" t="n"/>
    </row>
  </sheetData>
  <mergeCells count="9">
    <mergeCell ref="A34:K34"/>
    <mergeCell ref="M34:AD34"/>
    <mergeCell ref="M4:AC4"/>
    <mergeCell ref="A60:B60"/>
    <mergeCell ref="A2:H2"/>
    <mergeCell ref="AF58:AG58"/>
    <mergeCell ref="A3:I3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2"/>
  <sheetViews>
    <sheetView zoomScale="55" zoomScaleNormal="55" workbookViewId="0">
      <selection activeCell="D36" sqref="D36"/>
    </sheetView>
  </sheetViews>
  <sheetFormatPr baseColWidth="8" defaultColWidth="19.33203125" defaultRowHeight="14.4"/>
  <sheetData>
    <row r="1" ht="17.4" customHeight="1">
      <c r="A1" s="1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3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18" customHeight="1" thickBot="1">
      <c r="A2" s="5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7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6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4" t="n"/>
    </row>
    <row r="4" ht="21.6" customHeight="1" thickBo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" t="n"/>
      <c r="K4" s="11" t="n"/>
      <c r="L4" s="11" t="n"/>
      <c r="M4" s="159" t="inlineStr">
        <is>
          <t>total</t>
        </is>
      </c>
      <c r="N4" s="155" t="n"/>
      <c r="O4" s="155" t="n"/>
      <c r="P4" s="155" t="n"/>
      <c r="Q4" s="155" t="n"/>
      <c r="R4" s="155" t="n"/>
      <c r="S4" s="155" t="n"/>
      <c r="T4" s="155" t="n"/>
      <c r="U4" s="155" t="n"/>
      <c r="V4" s="155" t="n"/>
      <c r="W4" s="155" t="n"/>
      <c r="X4" s="155" t="n"/>
      <c r="Y4" s="155" t="n"/>
      <c r="Z4" s="155" t="n"/>
      <c r="AA4" s="155" t="n"/>
      <c r="AB4" s="155" t="n"/>
      <c r="AC4" s="156" t="n"/>
      <c r="AD4" s="18" t="n"/>
      <c r="AE4" s="4" t="n"/>
    </row>
    <row r="5" ht="21" customHeight="1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23" t="n"/>
      <c r="L5" s="23" t="n"/>
      <c r="M5" s="24" t="n">
        <v>46082</v>
      </c>
      <c r="N5" s="24" t="n">
        <v>46083</v>
      </c>
      <c r="O5" s="24" t="n">
        <v>46084</v>
      </c>
      <c r="P5" s="24" t="n">
        <v>46085</v>
      </c>
      <c r="Q5" s="24" t="n">
        <v>46086</v>
      </c>
      <c r="R5" s="24" t="n">
        <v>46087</v>
      </c>
      <c r="S5" s="24" t="n">
        <v>46088</v>
      </c>
      <c r="T5" s="24" t="n">
        <v>46089</v>
      </c>
      <c r="U5" s="24" t="n">
        <v>46090</v>
      </c>
      <c r="V5" s="24" t="n">
        <v>46091</v>
      </c>
      <c r="W5" s="24" t="n">
        <v>46092</v>
      </c>
      <c r="X5" s="24" t="n">
        <v>46093</v>
      </c>
      <c r="Y5" s="24" t="n">
        <v>46094</v>
      </c>
      <c r="Z5" s="24" t="n">
        <v>46095</v>
      </c>
      <c r="AA5" s="24" t="n">
        <v>46096</v>
      </c>
      <c r="AB5" s="25" t="n"/>
      <c r="AC5" s="26" t="inlineStr">
        <is>
          <t>TOTAL</t>
        </is>
      </c>
      <c r="AD5" s="27" t="n"/>
      <c r="AE5" s="27" t="n"/>
    </row>
    <row r="6" ht="21" customHeight="1">
      <c r="A6" s="83" t="inlineStr">
        <is>
          <t>FRANCA</t>
        </is>
      </c>
      <c r="B6" s="84" t="inlineStr">
        <is>
          <t>CHAPA_06</t>
        </is>
      </c>
      <c r="C6" s="85">
        <f>AC6</f>
        <v/>
      </c>
      <c r="D6" s="85">
        <f>C6*0.1818</f>
        <v/>
      </c>
      <c r="E6" s="85">
        <f>SUM(C6:D6)</f>
        <v/>
      </c>
      <c r="F6" s="85">
        <f>E6*0.1111</f>
        <v/>
      </c>
      <c r="G6" s="85">
        <f>E6*0.083</f>
        <v/>
      </c>
      <c r="H6" s="85">
        <f>SUM(E6:G6)*0.08</f>
        <v/>
      </c>
      <c r="I6" s="85">
        <f>IF(E6&lt;=$F$67,E6*$G$67,IF(E6&lt;=$F$68,E6*$G$68,IF(E6&lt;=$F$69,E6*$G$69,513.0125)))</f>
        <v/>
      </c>
      <c r="J6" s="22" t="n"/>
      <c r="K6" s="23" t="n"/>
      <c r="L6" s="23" t="n"/>
      <c r="M6" s="32" t="n">
        <v>0</v>
      </c>
      <c r="N6" s="32" t="n">
        <v>112.76</v>
      </c>
      <c r="O6" s="32" t="n">
        <v>112.76</v>
      </c>
      <c r="P6" s="32" t="n">
        <v>112.76</v>
      </c>
      <c r="Q6" s="32" t="n">
        <v>116.32</v>
      </c>
      <c r="R6" s="32" t="n">
        <v>0</v>
      </c>
      <c r="S6" s="32" t="n">
        <v>51.26</v>
      </c>
      <c r="T6" s="32" t="n">
        <v>0</v>
      </c>
      <c r="U6" s="32" t="n">
        <v>133.15</v>
      </c>
      <c r="V6" s="32" t="n">
        <v>158.67</v>
      </c>
      <c r="W6" s="32" t="n">
        <v>115.05</v>
      </c>
      <c r="X6" s="32" t="n">
        <v>151.95</v>
      </c>
      <c r="Y6" s="32" t="n">
        <v>112.76</v>
      </c>
      <c r="Z6" s="32" t="n">
        <v>154.08</v>
      </c>
      <c r="AA6" s="32" t="n">
        <v>0</v>
      </c>
      <c r="AB6" s="32" t="n"/>
      <c r="AC6" s="33">
        <f>SUM(M6:AB6)</f>
        <v/>
      </c>
      <c r="AD6" s="27" t="n"/>
      <c r="AE6" s="27" t="n"/>
    </row>
    <row r="7" ht="21" customHeight="1">
      <c r="A7" s="83" t="inlineStr">
        <is>
          <t>FRANCA</t>
        </is>
      </c>
      <c r="B7" s="84" t="inlineStr">
        <is>
          <t>CHAPA_12</t>
        </is>
      </c>
      <c r="C7" s="85">
        <f>AC7</f>
        <v/>
      </c>
      <c r="D7" s="85">
        <f>C7*0.1818</f>
        <v/>
      </c>
      <c r="E7" s="85">
        <f>SUM(C7:D7)</f>
        <v/>
      </c>
      <c r="F7" s="85">
        <f>E7*0.1111</f>
        <v/>
      </c>
      <c r="G7" s="85">
        <f>E7*0.083</f>
        <v/>
      </c>
      <c r="H7" s="85">
        <f>SUM(E7:G7)*0.08</f>
        <v/>
      </c>
      <c r="I7" s="85">
        <f>IF(E7&lt;=$F$67,E7*$G$67,IF(E7&lt;=$F$68,E7*$G$68,IF(E7&lt;=$F$69,E7*$G$69,513.0125)))</f>
        <v/>
      </c>
      <c r="J7" s="22" t="n"/>
      <c r="K7" s="34" t="n"/>
      <c r="L7" s="23" t="n"/>
      <c r="M7" s="32" t="n">
        <v>0</v>
      </c>
      <c r="N7" s="32" t="n">
        <v>51.25</v>
      </c>
      <c r="O7" s="32" t="n">
        <v>0</v>
      </c>
      <c r="P7" s="32" t="n">
        <v>0</v>
      </c>
      <c r="Q7" s="32" t="n">
        <v>116.32</v>
      </c>
      <c r="R7" s="32" t="n">
        <v>0</v>
      </c>
      <c r="S7" s="32" t="n">
        <v>51.26</v>
      </c>
      <c r="T7" s="32" t="n">
        <v>0</v>
      </c>
      <c r="U7" s="32" t="n">
        <v>133.15</v>
      </c>
      <c r="V7" s="32" t="n">
        <v>158.67</v>
      </c>
      <c r="W7" s="32" t="n">
        <v>124.66</v>
      </c>
      <c r="X7" s="32" t="n">
        <v>0</v>
      </c>
      <c r="Y7" s="32" t="n">
        <v>0</v>
      </c>
      <c r="Z7" s="32" t="n">
        <v>0</v>
      </c>
      <c r="AA7" s="32" t="n">
        <v>0</v>
      </c>
      <c r="AB7" s="32" t="n"/>
      <c r="AC7" s="33">
        <f>SUM(M7:AB7)</f>
        <v/>
      </c>
      <c r="AD7" s="27" t="n"/>
      <c r="AE7" s="27" t="n"/>
    </row>
    <row r="8" ht="21" customHeight="1">
      <c r="A8" s="83" t="inlineStr">
        <is>
          <t>FRANCA</t>
        </is>
      </c>
      <c r="B8" s="84" t="inlineStr">
        <is>
          <t>CHAPA_14</t>
        </is>
      </c>
      <c r="C8" s="85">
        <f>AC8</f>
        <v/>
      </c>
      <c r="D8" s="85">
        <f>C8*0.1818</f>
        <v/>
      </c>
      <c r="E8" s="85">
        <f>SUM(C8:D8)</f>
        <v/>
      </c>
      <c r="F8" s="85">
        <f>E8*0.1111</f>
        <v/>
      </c>
      <c r="G8" s="85">
        <f>E8*0.083</f>
        <v/>
      </c>
      <c r="H8" s="85">
        <f>SUM(E8:G8)*0.08</f>
        <v/>
      </c>
      <c r="I8" s="85">
        <f>IF(E8&lt;=$F$67,E8*$G$67,IF(E8&lt;=$F$68,E8*$G$68,IF(E8&lt;=$F$69,E8*$G$69,513.0125)))</f>
        <v/>
      </c>
      <c r="J8" s="22" t="n"/>
      <c r="K8" s="23" t="n"/>
      <c r="L8" s="23" t="n"/>
      <c r="M8" s="32" t="n">
        <v>0</v>
      </c>
      <c r="N8" s="32" t="n">
        <v>122.37</v>
      </c>
      <c r="O8" s="32" t="n">
        <v>112.76</v>
      </c>
      <c r="P8" s="32" t="n">
        <v>112.76</v>
      </c>
      <c r="Q8" s="32" t="n">
        <v>116.32</v>
      </c>
      <c r="R8" s="32" t="n">
        <v>112.76</v>
      </c>
      <c r="S8" s="32" t="n">
        <v>176.18</v>
      </c>
      <c r="T8" s="32" t="n">
        <v>0</v>
      </c>
      <c r="U8" s="32" t="n">
        <v>0</v>
      </c>
      <c r="V8" s="32" t="n">
        <v>102.51</v>
      </c>
      <c r="W8" s="32" t="n">
        <v>115.05</v>
      </c>
      <c r="X8" s="32" t="n">
        <v>151.95</v>
      </c>
      <c r="Y8" s="32" t="n">
        <v>122.37</v>
      </c>
      <c r="Z8" s="32" t="n">
        <v>77.2</v>
      </c>
      <c r="AA8" s="32" t="n">
        <v>0</v>
      </c>
      <c r="AB8" s="32" t="n"/>
      <c r="AC8" s="33">
        <f>SUM(M8:AB8)</f>
        <v/>
      </c>
      <c r="AD8" s="27" t="n"/>
      <c r="AE8" s="27" t="n"/>
    </row>
    <row r="9" ht="21" customHeight="1">
      <c r="A9" s="83" t="inlineStr">
        <is>
          <t>FRANCA</t>
        </is>
      </c>
      <c r="B9" s="86" t="inlineStr">
        <is>
          <t>CHAPA_15</t>
        </is>
      </c>
      <c r="C9" s="85">
        <f>AC9</f>
        <v/>
      </c>
      <c r="D9" s="85">
        <f>C9*0.1818</f>
        <v/>
      </c>
      <c r="E9" s="85">
        <f>SUM(C9:D9)</f>
        <v/>
      </c>
      <c r="F9" s="85">
        <f>E9*0.1111</f>
        <v/>
      </c>
      <c r="G9" s="85">
        <f>E9*0.083</f>
        <v/>
      </c>
      <c r="H9" s="85">
        <f>SUM(E9:G9)*0.08</f>
        <v/>
      </c>
      <c r="I9" s="85">
        <f>IF(E9&lt;=$F$67,E9*$G$67,IF(E9&lt;=$F$68,E9*$G$68,IF(E9&lt;=$F$69,E9*$G$69,513.0125)))</f>
        <v/>
      </c>
      <c r="J9" s="22" t="n"/>
      <c r="K9" s="23" t="n"/>
      <c r="L9" s="23" t="n"/>
      <c r="M9" s="32" t="n">
        <v>0</v>
      </c>
      <c r="N9" s="32" t="n">
        <v>0</v>
      </c>
      <c r="O9" s="32" t="n">
        <v>112.76</v>
      </c>
      <c r="P9" s="32" t="n">
        <v>112.76</v>
      </c>
      <c r="Q9" s="32" t="n">
        <v>116.32</v>
      </c>
      <c r="R9" s="32" t="n">
        <v>64.06</v>
      </c>
      <c r="S9" s="32" t="n">
        <v>51.26</v>
      </c>
      <c r="T9" s="32" t="n">
        <v>0</v>
      </c>
      <c r="U9" s="32" t="n">
        <v>133.15</v>
      </c>
      <c r="V9" s="32" t="n">
        <v>158.67</v>
      </c>
      <c r="W9" s="32" t="n">
        <v>115.06</v>
      </c>
      <c r="X9" s="32" t="n">
        <v>151.96</v>
      </c>
      <c r="Y9" s="32" t="n">
        <v>112.76</v>
      </c>
      <c r="Z9" s="32" t="n">
        <v>0</v>
      </c>
      <c r="AA9" s="32" t="n">
        <v>0</v>
      </c>
      <c r="AB9" s="32" t="n"/>
      <c r="AC9" s="33">
        <f>SUM(M9:AB9)</f>
        <v/>
      </c>
      <c r="AD9" s="27" t="n"/>
      <c r="AE9" s="27" t="n"/>
    </row>
    <row r="10" ht="21" customHeight="1">
      <c r="A10" s="83" t="inlineStr">
        <is>
          <t>FRANCA</t>
        </is>
      </c>
      <c r="B10" s="87" t="inlineStr">
        <is>
          <t>CHAPA_17</t>
        </is>
      </c>
      <c r="C10" s="85">
        <f>AC10</f>
        <v/>
      </c>
      <c r="D10" s="85">
        <f>C10*0.1818</f>
        <v/>
      </c>
      <c r="E10" s="85">
        <f>SUM(C10:D10)</f>
        <v/>
      </c>
      <c r="F10" s="85">
        <f>E10*0.1111</f>
        <v/>
      </c>
      <c r="G10" s="85">
        <f>E10*0.083</f>
        <v/>
      </c>
      <c r="H10" s="85">
        <f>SUM(E10:G10)*0.08</f>
        <v/>
      </c>
      <c r="I10" s="85">
        <f>IF(E10&lt;=$F$67,E10*$G$67,IF(E10&lt;=$F$68,E10*$G$68,IF(E10&lt;=$F$69,E10*$G$69,513.0125)))</f>
        <v/>
      </c>
      <c r="J10" s="22" t="n"/>
      <c r="K10" s="23" t="n"/>
      <c r="L10" s="23" t="n"/>
      <c r="M10" s="32" t="n">
        <v>0</v>
      </c>
      <c r="N10" s="32" t="n">
        <v>112.76</v>
      </c>
      <c r="O10" s="32" t="n">
        <v>112.76</v>
      </c>
      <c r="P10" s="32" t="n">
        <v>112.76</v>
      </c>
      <c r="Q10" s="32" t="n">
        <v>116.32</v>
      </c>
      <c r="R10" s="32" t="n">
        <v>76.88</v>
      </c>
      <c r="S10" s="32" t="n">
        <v>0</v>
      </c>
      <c r="T10" s="32" t="n">
        <v>0</v>
      </c>
      <c r="U10" s="32" t="n">
        <v>133.16</v>
      </c>
      <c r="V10" s="32" t="n">
        <v>0</v>
      </c>
      <c r="W10" s="32" t="n">
        <v>115.06</v>
      </c>
      <c r="X10" s="32" t="n">
        <v>151.96</v>
      </c>
      <c r="Y10" s="32" t="n">
        <v>112.76</v>
      </c>
      <c r="Z10" s="32" t="n">
        <v>77.2</v>
      </c>
      <c r="AA10" s="32" t="n">
        <v>0</v>
      </c>
      <c r="AB10" s="88" t="n"/>
      <c r="AC10" s="33">
        <f>SUM(M10:AB10)</f>
        <v/>
      </c>
      <c r="AD10" s="27" t="n"/>
      <c r="AE10" s="27" t="n"/>
    </row>
    <row r="11" ht="21" customHeight="1">
      <c r="A11" s="83" t="inlineStr">
        <is>
          <t>FRANCA</t>
        </is>
      </c>
      <c r="B11" s="89" t="inlineStr">
        <is>
          <t>CHAPA_26</t>
        </is>
      </c>
      <c r="C11" s="85">
        <f>AC11</f>
        <v/>
      </c>
      <c r="D11" s="85">
        <f>C11*0.1818</f>
        <v/>
      </c>
      <c r="E11" s="85">
        <f>SUM(C11:D11)</f>
        <v/>
      </c>
      <c r="F11" s="85">
        <f>E11*0.1111</f>
        <v/>
      </c>
      <c r="G11" s="85">
        <f>E11*0.083</f>
        <v/>
      </c>
      <c r="H11" s="85">
        <f>SUM(E11:G11)*0.08</f>
        <v/>
      </c>
      <c r="I11" s="85">
        <f>IF(E11&lt;=$F$67,E11*$G$67,IF(E11&lt;=$F$68,E11*$G$68,IF(E11&lt;=$F$69,E11*$G$69,513.0125)))</f>
        <v/>
      </c>
      <c r="J11" s="22" t="n"/>
      <c r="K11" s="23" t="n"/>
      <c r="L11" s="23" t="n"/>
      <c r="M11" s="32" t="n">
        <v>0</v>
      </c>
      <c r="N11" s="32" t="n">
        <v>112.76</v>
      </c>
      <c r="O11" s="32" t="n">
        <v>112.76</v>
      </c>
      <c r="P11" s="32" t="n">
        <v>112.76</v>
      </c>
      <c r="Q11" s="32" t="n">
        <v>116.32</v>
      </c>
      <c r="R11" s="32" t="n">
        <v>112.76</v>
      </c>
      <c r="S11" s="32" t="n">
        <v>51.26</v>
      </c>
      <c r="T11" s="32" t="n">
        <v>0</v>
      </c>
      <c r="U11" s="32" t="n">
        <v>133.16</v>
      </c>
      <c r="V11" s="32" t="n">
        <v>158.67</v>
      </c>
      <c r="W11" s="32" t="n">
        <v>115.06</v>
      </c>
      <c r="X11" s="32" t="n">
        <v>151.96</v>
      </c>
      <c r="Y11" s="32" t="n">
        <v>112.76</v>
      </c>
      <c r="Z11" s="32" t="n">
        <v>77.2</v>
      </c>
      <c r="AA11" s="32" t="n">
        <v>0</v>
      </c>
      <c r="AB11" s="32" t="n"/>
      <c r="AC11" s="33">
        <f>SUM(M11:AB11)</f>
        <v/>
      </c>
      <c r="AD11" s="27" t="n"/>
      <c r="AE11" s="27" t="n"/>
    </row>
    <row r="12" ht="21" customHeight="1">
      <c r="A12" s="83" t="inlineStr">
        <is>
          <t>FRANCA</t>
        </is>
      </c>
      <c r="B12" s="89" t="inlineStr">
        <is>
          <t>CHAPA_37</t>
        </is>
      </c>
      <c r="C12" s="85">
        <f>AC12</f>
        <v/>
      </c>
      <c r="D12" s="85">
        <f>C12*0.1818</f>
        <v/>
      </c>
      <c r="E12" s="85">
        <f>SUM(C12:D12)</f>
        <v/>
      </c>
      <c r="F12" s="85">
        <f>E12*0.1111</f>
        <v/>
      </c>
      <c r="G12" s="85">
        <f>E12*0.083</f>
        <v/>
      </c>
      <c r="H12" s="85">
        <f>SUM(E12:G12)*0.08</f>
        <v/>
      </c>
      <c r="I12" s="85">
        <f>IF(E12&lt;=$F$67,E12*$G$67,IF(E12&lt;=$F$68,E12*$G$68,IF(E12&lt;=$F$69,E12*$G$69,513.0125)))</f>
        <v/>
      </c>
      <c r="J12" s="22" t="n"/>
      <c r="K12" s="23" t="n"/>
      <c r="L12" s="23" t="n"/>
      <c r="M12" s="32" t="n">
        <v>0</v>
      </c>
      <c r="N12" s="32" t="n">
        <v>0</v>
      </c>
      <c r="O12" s="32" t="n">
        <v>112.76</v>
      </c>
      <c r="P12" s="32" t="n">
        <v>112.76</v>
      </c>
      <c r="Q12" s="32" t="n">
        <v>76.88</v>
      </c>
      <c r="R12" s="32" t="n">
        <v>89.69</v>
      </c>
      <c r="S12" s="32" t="n">
        <v>51.25</v>
      </c>
      <c r="T12" s="32" t="n">
        <v>0</v>
      </c>
      <c r="U12" s="32" t="n">
        <v>0</v>
      </c>
      <c r="V12" s="32" t="n">
        <v>102.51</v>
      </c>
      <c r="W12" s="32" t="n">
        <v>115.06</v>
      </c>
      <c r="X12" s="32" t="n">
        <v>151.96</v>
      </c>
      <c r="Y12" s="32" t="n">
        <v>112.76</v>
      </c>
      <c r="Z12" s="32" t="n">
        <v>77.2</v>
      </c>
      <c r="AA12" s="32" t="n">
        <v>0</v>
      </c>
      <c r="AB12" s="32" t="n"/>
      <c r="AC12" s="33">
        <f>SUM(M12:AB12)</f>
        <v/>
      </c>
      <c r="AD12" s="27" t="n"/>
      <c r="AE12" s="27" t="n"/>
    </row>
    <row r="13" ht="21" customHeight="1">
      <c r="A13" s="83" t="inlineStr">
        <is>
          <t>FRANCA</t>
        </is>
      </c>
      <c r="B13" s="86" t="inlineStr">
        <is>
          <t>CHAPA_38</t>
        </is>
      </c>
      <c r="C13" s="85">
        <f>AC13</f>
        <v/>
      </c>
      <c r="D13" s="85">
        <f>C13*0.1818</f>
        <v/>
      </c>
      <c r="E13" s="85">
        <f>SUM(C13:D13)</f>
        <v/>
      </c>
      <c r="F13" s="85">
        <f>E13*0.1111</f>
        <v/>
      </c>
      <c r="G13" s="85">
        <f>E13*0.083</f>
        <v/>
      </c>
      <c r="H13" s="85">
        <f>SUM(E13:G13)*0.08</f>
        <v/>
      </c>
      <c r="I13" s="85">
        <f>IF(E13&lt;=$F$67,E13*$G$67,IF(E13&lt;=$F$68,E13*$G$68,IF(E13&lt;=$F$69,E13*$G$69,513.0125)))</f>
        <v/>
      </c>
      <c r="J13" s="22" t="n"/>
      <c r="K13" s="23" t="n"/>
      <c r="L13" s="23" t="n"/>
      <c r="M13" s="32" t="n">
        <v>0</v>
      </c>
      <c r="N13" s="32" t="n">
        <v>122.37</v>
      </c>
      <c r="O13" s="32" t="n">
        <v>131.98</v>
      </c>
      <c r="P13" s="32" t="n">
        <v>112.76</v>
      </c>
      <c r="Q13" s="32" t="n">
        <v>116.32</v>
      </c>
      <c r="R13" s="32" t="n">
        <v>112.76</v>
      </c>
      <c r="S13" s="32" t="n">
        <v>128.13</v>
      </c>
      <c r="T13" s="32" t="n">
        <v>0</v>
      </c>
      <c r="U13" s="32" t="n">
        <v>133.16</v>
      </c>
      <c r="V13" s="32" t="n">
        <v>158.67</v>
      </c>
      <c r="W13" s="32" t="n">
        <v>115.06</v>
      </c>
      <c r="X13" s="32" t="n">
        <v>151.96</v>
      </c>
      <c r="Y13" s="32" t="n">
        <v>122.37</v>
      </c>
      <c r="Z13" s="32" t="n">
        <v>173.3</v>
      </c>
      <c r="AA13" s="32" t="n">
        <v>0</v>
      </c>
      <c r="AB13" s="32" t="n"/>
      <c r="AC13" s="33">
        <f>SUM(M13:AB13)</f>
        <v/>
      </c>
      <c r="AD13" s="27" t="n"/>
      <c r="AE13" s="27" t="n"/>
    </row>
    <row r="14" ht="21" customHeight="1">
      <c r="A14" s="83" t="inlineStr">
        <is>
          <t>FRANCA</t>
        </is>
      </c>
      <c r="B14" s="86" t="inlineStr">
        <is>
          <t>CHAPA_41</t>
        </is>
      </c>
      <c r="C14" s="85">
        <f>AC14</f>
        <v/>
      </c>
      <c r="D14" s="85">
        <f>C14*0.1818</f>
        <v/>
      </c>
      <c r="E14" s="85">
        <f>SUM(C14:D14)</f>
        <v/>
      </c>
      <c r="F14" s="85">
        <f>E14*0.1111</f>
        <v/>
      </c>
      <c r="G14" s="85">
        <f>E14*0.083</f>
        <v/>
      </c>
      <c r="H14" s="85">
        <f>SUM(E14:G14)*0.08</f>
        <v/>
      </c>
      <c r="I14" s="85">
        <f>IF(E14&lt;=$F$67,E14*$G$67,IF(E14&lt;=$F$68,E14*$G$68,IF(E14&lt;=$F$69,E14*$G$69,513.0125)))</f>
        <v/>
      </c>
      <c r="J14" s="22" t="n"/>
      <c r="K14" s="23" t="n"/>
      <c r="L14" s="23" t="n"/>
      <c r="M14" s="32" t="n">
        <v>0</v>
      </c>
      <c r="N14" s="32" t="n">
        <v>112.76</v>
      </c>
      <c r="O14" s="32" t="n">
        <v>112.76</v>
      </c>
      <c r="P14" s="32" t="n">
        <v>51.25</v>
      </c>
      <c r="Q14" s="32" t="n">
        <v>116.32</v>
      </c>
      <c r="R14" s="32" t="n">
        <v>112.76</v>
      </c>
      <c r="S14" s="32" t="n">
        <v>176.18</v>
      </c>
      <c r="T14" s="32" t="n">
        <v>0</v>
      </c>
      <c r="U14" s="32" t="n">
        <v>133.16</v>
      </c>
      <c r="V14" s="32" t="n">
        <v>158.66</v>
      </c>
      <c r="W14" s="32" t="n">
        <v>115.06</v>
      </c>
      <c r="X14" s="32" t="n">
        <v>151.96</v>
      </c>
      <c r="Y14" s="32" t="n">
        <v>112.76</v>
      </c>
      <c r="Z14" s="32" t="n">
        <v>173.3</v>
      </c>
      <c r="AA14" s="32" t="n">
        <v>0</v>
      </c>
      <c r="AB14" s="32" t="n"/>
      <c r="AC14" s="33">
        <f>SUM(M14:AB14)</f>
        <v/>
      </c>
      <c r="AD14" s="27" t="n"/>
      <c r="AE14" s="27" t="n"/>
    </row>
    <row r="15" ht="21" customHeight="1">
      <c r="A15" s="83" t="inlineStr">
        <is>
          <t>FRANCA</t>
        </is>
      </c>
      <c r="B15" s="86" t="inlineStr">
        <is>
          <t>CHAPA_43</t>
        </is>
      </c>
      <c r="C15" s="85">
        <f>AC15</f>
        <v/>
      </c>
      <c r="D15" s="85">
        <f>C15*0.1818</f>
        <v/>
      </c>
      <c r="E15" s="85">
        <f>SUM(C15:D15)</f>
        <v/>
      </c>
      <c r="F15" s="85">
        <f>E15*0.1111</f>
        <v/>
      </c>
      <c r="G15" s="85">
        <f>E15*0.083</f>
        <v/>
      </c>
      <c r="H15" s="85">
        <f>SUM(E15:G15)*0.08</f>
        <v/>
      </c>
      <c r="I15" s="85">
        <f>IF(E15&lt;=$F$67,E15*$G$67,IF(E15&lt;=$F$68,E15*$G$68,IF(E15&lt;=$F$69,E15*$G$69,513.0125)))</f>
        <v/>
      </c>
      <c r="J15" s="22" t="n"/>
      <c r="K15" s="23" t="n"/>
      <c r="L15" s="23" t="n"/>
      <c r="M15" s="32" t="n">
        <v>0</v>
      </c>
      <c r="N15" s="32" t="n">
        <v>112.76</v>
      </c>
      <c r="O15" s="32" t="n">
        <v>112.76</v>
      </c>
      <c r="P15" s="32" t="n">
        <v>112.77</v>
      </c>
      <c r="Q15" s="32" t="n">
        <v>116.32</v>
      </c>
      <c r="R15" s="32" t="n">
        <v>89.69</v>
      </c>
      <c r="S15" s="32" t="n">
        <v>51.25</v>
      </c>
      <c r="T15" s="32" t="n">
        <v>0</v>
      </c>
      <c r="U15" s="32" t="n">
        <v>133.16</v>
      </c>
      <c r="V15" s="32" t="n">
        <v>158.66</v>
      </c>
      <c r="W15" s="32" t="n">
        <v>115.06</v>
      </c>
      <c r="X15" s="32" t="n">
        <v>151.96</v>
      </c>
      <c r="Y15" s="32" t="n">
        <v>122.37</v>
      </c>
      <c r="Z15" s="32" t="n">
        <v>173.3</v>
      </c>
      <c r="AA15" s="32" t="n">
        <v>0</v>
      </c>
      <c r="AB15" s="32" t="n"/>
      <c r="AC15" s="33">
        <f>SUM(M15:AB15)</f>
        <v/>
      </c>
      <c r="AD15" s="27" t="n"/>
      <c r="AE15" s="27" t="n"/>
    </row>
    <row r="16" ht="21" customHeight="1">
      <c r="A16" s="83" t="inlineStr">
        <is>
          <t>FRANCA</t>
        </is>
      </c>
      <c r="B16" s="84" t="inlineStr">
        <is>
          <t>CHAPA_46</t>
        </is>
      </c>
      <c r="C16" s="85">
        <f>AC16</f>
        <v/>
      </c>
      <c r="D16" s="85">
        <f>C16*0.1818</f>
        <v/>
      </c>
      <c r="E16" s="85">
        <f>SUM(C16:D16)</f>
        <v/>
      </c>
      <c r="F16" s="85">
        <f>E16*0.1111</f>
        <v/>
      </c>
      <c r="G16" s="85">
        <f>E16*0.083</f>
        <v/>
      </c>
      <c r="H16" s="85">
        <f>SUM(E16:G16)*0.08</f>
        <v/>
      </c>
      <c r="I16" s="85">
        <f>IF(E16&lt;=$F$67,E16*$G$67,IF(E16&lt;=$F$68,E16*$G$68,IF(E16&lt;=$F$69,E16*$G$69,513.0125)))</f>
        <v/>
      </c>
      <c r="J16" s="22" t="n"/>
      <c r="K16" s="23" t="n"/>
      <c r="L16" s="23" t="n"/>
      <c r="M16" s="32" t="n">
        <v>0</v>
      </c>
      <c r="N16" s="32" t="n">
        <v>112.77</v>
      </c>
      <c r="O16" s="32" t="n">
        <v>83.28</v>
      </c>
      <c r="P16" s="32" t="n">
        <v>0</v>
      </c>
      <c r="Q16" s="32" t="n">
        <v>116.3</v>
      </c>
      <c r="R16" s="32" t="n">
        <v>112.76</v>
      </c>
      <c r="S16" s="32" t="n">
        <v>51.26</v>
      </c>
      <c r="T16" s="32" t="n">
        <v>0</v>
      </c>
      <c r="U16" s="32" t="n">
        <v>133.16</v>
      </c>
      <c r="V16" s="32" t="n">
        <v>70.47</v>
      </c>
      <c r="W16" s="32" t="n">
        <v>115.06</v>
      </c>
      <c r="X16" s="32" t="n">
        <v>0</v>
      </c>
      <c r="Y16" s="32" t="n">
        <v>0</v>
      </c>
      <c r="Z16" s="32" t="n">
        <v>77.22</v>
      </c>
      <c r="AA16" s="32" t="n">
        <v>0</v>
      </c>
      <c r="AB16" s="32" t="n"/>
      <c r="AC16" s="33">
        <f>SUM(M16:AB16)</f>
        <v/>
      </c>
      <c r="AD16" s="27" t="n"/>
      <c r="AE16" s="27" t="n"/>
    </row>
    <row r="17" ht="21" customHeight="1">
      <c r="A17" s="83" t="inlineStr">
        <is>
          <t>FRANCA</t>
        </is>
      </c>
      <c r="B17" s="90" t="n"/>
      <c r="C17" s="85">
        <f>AC17</f>
        <v/>
      </c>
      <c r="D17" s="85">
        <f>C17*0.1818</f>
        <v/>
      </c>
      <c r="E17" s="85">
        <f>SUM(C17:D17)</f>
        <v/>
      </c>
      <c r="F17" s="85">
        <f>E17*0.1111</f>
        <v/>
      </c>
      <c r="G17" s="85">
        <f>E17*0.083</f>
        <v/>
      </c>
      <c r="H17" s="85">
        <f>SUM(E17:G17)*0.08</f>
        <v/>
      </c>
      <c r="I17" s="85">
        <f>IF(E17&lt;=$F$67,E17*$G$67,IF(E17&lt;=$F$68,E17*$G$68,IF(E17&lt;=$F$69,E17*$G$69,513.0125)))</f>
        <v/>
      </c>
      <c r="J17" s="22" t="n"/>
      <c r="K17" s="23" t="n"/>
      <c r="L17" s="23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SUM(M17:AA17)</f>
        <v/>
      </c>
      <c r="AD17" s="27" t="n"/>
      <c r="AE17" s="27" t="n"/>
    </row>
    <row r="18" ht="21" customHeight="1">
      <c r="A18" s="83" t="inlineStr">
        <is>
          <t>FRANCA</t>
        </is>
      </c>
      <c r="B18" s="90" t="n"/>
      <c r="C18" s="85">
        <f>AC18</f>
        <v/>
      </c>
      <c r="D18" s="85">
        <f>C18*0.1818</f>
        <v/>
      </c>
      <c r="E18" s="85">
        <f>SUM(C18:D18)</f>
        <v/>
      </c>
      <c r="F18" s="85">
        <f>E18*0.1111</f>
        <v/>
      </c>
      <c r="G18" s="85">
        <f>E18*0.083</f>
        <v/>
      </c>
      <c r="H18" s="85">
        <f>SUM(E18:G18)*0.08</f>
        <v/>
      </c>
      <c r="I18" s="85">
        <f>IF(E18&lt;=$F$67,E18*$G$67,IF(E18&lt;=$F$68,E18*$G$68,IF(E18&lt;=$F$69,E18*$G$69,513.0125)))</f>
        <v/>
      </c>
      <c r="J18" s="22" t="n"/>
      <c r="K18" s="23" t="n"/>
      <c r="L18" s="23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SUM(M18:AA18)</f>
        <v/>
      </c>
      <c r="AD18" s="27" t="n"/>
      <c r="AE18" s="27" t="n"/>
    </row>
    <row r="19" ht="21" customHeight="1">
      <c r="A19" s="83" t="inlineStr">
        <is>
          <t>FRANCA</t>
        </is>
      </c>
      <c r="B19" s="86" t="n"/>
      <c r="C19" s="85">
        <f>AC19</f>
        <v/>
      </c>
      <c r="D19" s="85">
        <f>C19*0.1818</f>
        <v/>
      </c>
      <c r="E19" s="85">
        <f>SUM(C19:D19)</f>
        <v/>
      </c>
      <c r="F19" s="85">
        <f>E19*0.1111</f>
        <v/>
      </c>
      <c r="G19" s="85">
        <f>E19*0.083</f>
        <v/>
      </c>
      <c r="H19" s="85">
        <f>SUM(E19:G19)*0.08</f>
        <v/>
      </c>
      <c r="I19" s="85">
        <f>IF(E19&lt;=$F$67,E19*$G$67,IF(E19&lt;=$F$68,E19*$G$68,IF(E19&lt;=$F$69,E19*$G$69,513.0125)))</f>
        <v/>
      </c>
      <c r="J19" s="22" t="n"/>
      <c r="K19" s="23" t="n"/>
      <c r="L19" s="23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SUM(M19:AA19)</f>
        <v/>
      </c>
      <c r="AD19" s="27" t="n"/>
      <c r="AE19" s="27" t="n"/>
    </row>
    <row r="20" ht="21" customHeight="1">
      <c r="A20" s="83" t="inlineStr">
        <is>
          <t>FRANCA</t>
        </is>
      </c>
      <c r="B20" s="86" t="n"/>
      <c r="C20" s="85">
        <f>AC20</f>
        <v/>
      </c>
      <c r="D20" s="85">
        <f>C20*0.1818</f>
        <v/>
      </c>
      <c r="E20" s="85">
        <f>SUM(C20:D20)</f>
        <v/>
      </c>
      <c r="F20" s="85">
        <f>E20*0.1111</f>
        <v/>
      </c>
      <c r="G20" s="85">
        <f>E20*0.083</f>
        <v/>
      </c>
      <c r="H20" s="85">
        <f>SUM(E20:G20)*0.08</f>
        <v/>
      </c>
      <c r="I20" s="85">
        <f>IF(E20&lt;=$F$67,E20*$G$67,IF(E20&lt;=$F$68,E20*$G$68,IF(E20&lt;=$F$69,E20*$G$69,513.0125)))</f>
        <v/>
      </c>
      <c r="J20" s="22" t="n"/>
      <c r="K20" s="23" t="n"/>
      <c r="L20" s="23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SUM(M20:AA20)</f>
        <v/>
      </c>
      <c r="AD20" s="27" t="n"/>
      <c r="AE20" s="27" t="n"/>
    </row>
    <row r="21" ht="21" customHeight="1">
      <c r="A21" s="83" t="inlineStr">
        <is>
          <t>FRANCA</t>
        </is>
      </c>
      <c r="B21" s="89" t="n"/>
      <c r="C21" s="85">
        <f>AC21</f>
        <v/>
      </c>
      <c r="D21" s="85">
        <f>C21*0.1818</f>
        <v/>
      </c>
      <c r="E21" s="85">
        <f>SUM(C21:D21)</f>
        <v/>
      </c>
      <c r="F21" s="85">
        <f>E21*0.1111</f>
        <v/>
      </c>
      <c r="G21" s="85">
        <f>E21*0.083</f>
        <v/>
      </c>
      <c r="H21" s="85">
        <f>SUM(E21:G21)*0.08</f>
        <v/>
      </c>
      <c r="I21" s="85">
        <f>IF(E21&lt;=$F$67,E21*$G$67,IF(E21&lt;=$F$68,E21*$G$68,IF(E21&lt;=$F$69,E21*$G$69,513.0125)))</f>
        <v/>
      </c>
      <c r="J21" s="22" t="n"/>
      <c r="K21" s="23" t="n"/>
      <c r="L21" s="23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SUM(M21:AA21)</f>
        <v/>
      </c>
      <c r="AD21" s="27" t="n"/>
      <c r="AE21" s="27" t="n"/>
    </row>
    <row r="22" ht="21" customHeight="1">
      <c r="A22" s="83" t="inlineStr">
        <is>
          <t>FRANCA</t>
        </is>
      </c>
      <c r="B22" s="89" t="n"/>
      <c r="C22" s="85">
        <f>AC22</f>
        <v/>
      </c>
      <c r="D22" s="85">
        <f>C22*0.1818</f>
        <v/>
      </c>
      <c r="E22" s="85">
        <f>SUM(C22:D22)</f>
        <v/>
      </c>
      <c r="F22" s="85">
        <f>E22*0.1111</f>
        <v/>
      </c>
      <c r="G22" s="85">
        <f>E22*0.083</f>
        <v/>
      </c>
      <c r="H22" s="85">
        <f>SUM(E22:G22)*0.08</f>
        <v/>
      </c>
      <c r="I22" s="85">
        <f>IF(E22&lt;=$F$67,E22*$G$67,IF(E22&lt;=$F$68,E22*$G$68,IF(E22&lt;=$F$69,E22*$G$69,513.0125)))</f>
        <v/>
      </c>
      <c r="J22" s="22" t="n"/>
      <c r="K22" s="23" t="n"/>
      <c r="L22" s="23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SUM(M22:AA22)</f>
        <v/>
      </c>
      <c r="AD22" s="27" t="n"/>
      <c r="AE22" s="27" t="n"/>
    </row>
    <row r="23" ht="21" customHeight="1">
      <c r="A23" s="83" t="inlineStr">
        <is>
          <t>FRANCA</t>
        </is>
      </c>
      <c r="B23" s="89" t="n"/>
      <c r="C23" s="85">
        <f>AC23</f>
        <v/>
      </c>
      <c r="D23" s="85">
        <f>C23*0.1818</f>
        <v/>
      </c>
      <c r="E23" s="85">
        <f>SUM(C23:D23)</f>
        <v/>
      </c>
      <c r="F23" s="85">
        <f>E23*0.1111</f>
        <v/>
      </c>
      <c r="G23" s="85">
        <f>E23*0.083</f>
        <v/>
      </c>
      <c r="H23" s="85">
        <f>SUM(E23:G23)*0.08</f>
        <v/>
      </c>
      <c r="I23" s="85">
        <f>IF(E23&lt;=$F$67,E23*$G$67,IF(E23&lt;=$F$68,E23*$G$68,IF(E23&lt;=$F$69,E23*$G$69,513.0125)))</f>
        <v/>
      </c>
      <c r="J23" s="22" t="n"/>
      <c r="K23" s="23" t="n"/>
      <c r="L23" s="23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SUM(M23:AA23)</f>
        <v/>
      </c>
      <c r="AD23" s="27" t="n"/>
      <c r="AE23" s="27" t="n"/>
    </row>
    <row r="24" ht="21" customHeight="1">
      <c r="A24" s="83" t="inlineStr">
        <is>
          <t>FRANCA</t>
        </is>
      </c>
      <c r="B24" s="91" t="n"/>
      <c r="C24" s="85">
        <f>AC24</f>
        <v/>
      </c>
      <c r="D24" s="85">
        <f>C24*0.1818</f>
        <v/>
      </c>
      <c r="E24" s="85">
        <f>SUM(C24:D24)</f>
        <v/>
      </c>
      <c r="F24" s="85">
        <f>E24*0.1111</f>
        <v/>
      </c>
      <c r="G24" s="85">
        <f>E24*0.083</f>
        <v/>
      </c>
      <c r="H24" s="85">
        <f>SUM(E24:G24)*0.08</f>
        <v/>
      </c>
      <c r="I24" s="85">
        <f>IF(E24&lt;=$F$67,E24*$G$67,IF(E24&lt;=$F$68,E24*$G$68,IF(E24&lt;=$F$69,E24*$G$69,513.0125)))</f>
        <v/>
      </c>
      <c r="J24" s="22" t="n"/>
      <c r="K24" s="23" t="n"/>
      <c r="L24" s="23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SUM(M24:AA24)</f>
        <v/>
      </c>
      <c r="AD24" s="27" t="n"/>
      <c r="AE24" s="27" t="n"/>
    </row>
    <row r="25" ht="21" customHeight="1">
      <c r="A25" s="83" t="inlineStr">
        <is>
          <t>FRANCA</t>
        </is>
      </c>
      <c r="B25" s="89" t="n"/>
      <c r="C25" s="85">
        <f>AC25</f>
        <v/>
      </c>
      <c r="D25" s="85">
        <f>C25*0.1818</f>
        <v/>
      </c>
      <c r="E25" s="85">
        <f>SUM(C25:D25)</f>
        <v/>
      </c>
      <c r="F25" s="85">
        <f>E25*0.1111</f>
        <v/>
      </c>
      <c r="G25" s="85">
        <f>E25*0.083</f>
        <v/>
      </c>
      <c r="H25" s="85">
        <f>SUM(E25:G25)*0.08</f>
        <v/>
      </c>
      <c r="I25" s="85">
        <f>IF(E25&lt;=$F$67,E25*$G$67,IF(E25&lt;=$F$68,E25*$G$68,IF(E25&lt;=$F$69,E25*$G$69,513.0125)))</f>
        <v/>
      </c>
      <c r="J25" s="22" t="n"/>
      <c r="K25" s="23" t="n"/>
      <c r="L25" s="23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SUM(M25:AA25)</f>
        <v/>
      </c>
      <c r="AD25" s="27" t="n"/>
      <c r="AE25" s="27" t="n"/>
    </row>
    <row r="26" ht="21" customHeight="1">
      <c r="A26" s="83" t="n"/>
      <c r="B26" s="89" t="n"/>
      <c r="C26" s="85">
        <f>AC26</f>
        <v/>
      </c>
      <c r="D26" s="85">
        <f>C26*0.1818</f>
        <v/>
      </c>
      <c r="E26" s="85">
        <f>SUM(C26:D26)</f>
        <v/>
      </c>
      <c r="F26" s="85">
        <f>E26*0.1111</f>
        <v/>
      </c>
      <c r="G26" s="85">
        <f>E26*0.083</f>
        <v/>
      </c>
      <c r="H26" s="85">
        <f>SUM(E26:G26)*0.08</f>
        <v/>
      </c>
      <c r="I26" s="85">
        <f>IF(E26&lt;=$F$67,E26*$G$67,IF(E26&lt;=$F$68,E26*$G$68,IF(E26&lt;=$F$69,E26*$G$69,513.0125)))</f>
        <v/>
      </c>
      <c r="J26" s="22" t="n"/>
      <c r="K26" s="23" t="n"/>
      <c r="L26" s="23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SUM(M26:AA26)</f>
        <v/>
      </c>
      <c r="AD26" s="27" t="n"/>
      <c r="AE26" s="27" t="n"/>
    </row>
    <row r="27" ht="21" customHeight="1" thickBot="1">
      <c r="A27" s="23" t="n"/>
      <c r="B27" s="35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43">
        <f>COUNT(M26:M26)</f>
        <v/>
      </c>
      <c r="N27" s="43">
        <f>COUNT(N26:N26)</f>
        <v/>
      </c>
      <c r="O27" s="43">
        <f>COUNT(O26:O26)</f>
        <v/>
      </c>
      <c r="P27" s="43">
        <f>COUNT(P26:P26)</f>
        <v/>
      </c>
      <c r="Q27" s="43">
        <f>COUNT(Q26:Q26)</f>
        <v/>
      </c>
      <c r="R27" s="43" t="n"/>
      <c r="S27" s="43">
        <f>COUNT(S26:S26)</f>
        <v/>
      </c>
      <c r="T27" s="43">
        <f>COUNT(T26:T26)</f>
        <v/>
      </c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23" t="n"/>
      <c r="AD27" s="27" t="n"/>
      <c r="AE27" s="27" t="n"/>
    </row>
    <row r="28" ht="21" customHeight="1">
      <c r="J28" s="23" t="n"/>
      <c r="K28" s="23" t="n"/>
      <c r="L28" s="23" t="n"/>
      <c r="M28" s="44" t="inlineStr">
        <is>
          <t>TOTAL GERAL / BOLETIM ENSACADORES:</t>
        </is>
      </c>
      <c r="N28" s="45" t="n"/>
      <c r="O28" s="45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7" t="inlineStr">
        <is>
          <t>TOTAL:</t>
        </is>
      </c>
      <c r="AE28" s="27" t="n"/>
    </row>
    <row r="29" ht="21" customHeight="1">
      <c r="J29" s="23" t="n"/>
      <c r="K29" s="23" t="n"/>
      <c r="L29" s="23" t="n"/>
      <c r="M29" s="48">
        <f>SUM(M6:M26)</f>
        <v/>
      </c>
      <c r="N29" s="48">
        <f>SUM(N6:N26)</f>
        <v/>
      </c>
      <c r="O29" s="48">
        <f>SUM(O6:O26)</f>
        <v/>
      </c>
      <c r="P29" s="48">
        <f>SUM(P6:P26)</f>
        <v/>
      </c>
      <c r="Q29" s="48">
        <f>SUM(Q6:Q26)</f>
        <v/>
      </c>
      <c r="R29" s="48">
        <f>SUM(R6:R26)</f>
        <v/>
      </c>
      <c r="S29" s="48">
        <f>SUM(S6:S26)</f>
        <v/>
      </c>
      <c r="T29" s="48">
        <f>SUM(T6:T26)</f>
        <v/>
      </c>
      <c r="U29" s="48">
        <f>SUM(U6:U26)</f>
        <v/>
      </c>
      <c r="V29" s="48">
        <f>SUM(V6:V26)</f>
        <v/>
      </c>
      <c r="W29" s="48">
        <f>SUM(W6:W26)</f>
        <v/>
      </c>
      <c r="X29" s="48">
        <f>SUM(X6:X26)</f>
        <v/>
      </c>
      <c r="Y29" s="48">
        <f>SUM(Y6:Y26)</f>
        <v/>
      </c>
      <c r="Z29" s="48">
        <f>SUM(Z6:Z26)</f>
        <v/>
      </c>
      <c r="AA29" s="48">
        <f>SUM(AA6:AA26)</f>
        <v/>
      </c>
      <c r="AB29" s="49" t="n"/>
      <c r="AC29" s="49" t="n"/>
      <c r="AD29" s="50">
        <f>SUM(M29:AB29)</f>
        <v/>
      </c>
      <c r="AE29" s="27" t="n"/>
    </row>
    <row r="30" ht="21" customHeight="1" thickBot="1">
      <c r="J30" s="23" t="n"/>
      <c r="K30" s="23" t="n"/>
      <c r="L30" s="23" t="n"/>
      <c r="AE30" s="27" t="n"/>
    </row>
    <row r="31" ht="21.6" customHeight="1" thickBot="1">
      <c r="A31" s="51" t="inlineStr">
        <is>
          <t>MÉDIA DIÁRIA CHAPAS</t>
        </is>
      </c>
      <c r="B31" s="51" t="n"/>
      <c r="C31" s="52" t="n">
        <v>11</v>
      </c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AE31" s="27" t="n"/>
    </row>
    <row r="32" ht="20.4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7" t="n"/>
    </row>
    <row r="33" ht="21.6" customFormat="1" customHeight="1" s="101" thickBot="1">
      <c r="A33" s="98" t="n"/>
      <c r="B33" s="99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  <c r="AA33" s="99" t="n"/>
      <c r="AB33" s="99" t="n"/>
      <c r="AC33" s="99" t="n"/>
      <c r="AD33" s="99" t="n"/>
      <c r="AE33" s="100" t="n"/>
    </row>
    <row r="34" ht="21" customHeight="1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4" t="n"/>
    </row>
    <row r="35" ht="42" customHeight="1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59" t="n">
        <v>46097</v>
      </c>
      <c r="N35" s="59" t="n">
        <v>46098</v>
      </c>
      <c r="O35" s="59" t="n">
        <v>46099</v>
      </c>
      <c r="P35" s="59" t="n">
        <v>46100</v>
      </c>
      <c r="Q35" s="59" t="n">
        <v>46101</v>
      </c>
      <c r="R35" s="59" t="n">
        <v>46102</v>
      </c>
      <c r="S35" s="59" t="n">
        <v>46103</v>
      </c>
      <c r="T35" s="59" t="n">
        <v>46104</v>
      </c>
      <c r="U35" s="59" t="n">
        <v>46105</v>
      </c>
      <c r="V35" s="59" t="n">
        <v>46106</v>
      </c>
      <c r="W35" s="59" t="n">
        <v>46107</v>
      </c>
      <c r="X35" s="59" t="n">
        <v>46108</v>
      </c>
      <c r="Y35" s="59" t="n">
        <v>46109</v>
      </c>
      <c r="Z35" s="59" t="n">
        <v>46110</v>
      </c>
      <c r="AA35" s="59" t="n">
        <v>46111</v>
      </c>
      <c r="AB35" s="59" t="n">
        <v>46112</v>
      </c>
      <c r="AC35" s="21" t="inlineStr">
        <is>
          <t>TOTAL</t>
        </is>
      </c>
      <c r="AD35" s="27" t="n"/>
      <c r="AE35" s="27" t="n"/>
    </row>
    <row r="36" ht="21" customHeight="1">
      <c r="A36" s="93" t="inlineStr">
        <is>
          <t>FRANCA</t>
        </is>
      </c>
      <c r="B36" s="84" t="inlineStr">
        <is>
          <t>CHAPA_06</t>
        </is>
      </c>
      <c r="C36" s="85">
        <f>AC36</f>
        <v/>
      </c>
      <c r="D36" s="85">
        <f>C36*0.1818</f>
        <v/>
      </c>
      <c r="E36" s="85">
        <f>SUM(C36:D36)</f>
        <v/>
      </c>
      <c r="F36" s="85">
        <f>E36*0.1111</f>
        <v/>
      </c>
      <c r="G36" s="85">
        <f>E36*0.083</f>
        <v/>
      </c>
      <c r="H36" s="85">
        <f>SUM(E36:G36)*0.08</f>
        <v/>
      </c>
      <c r="I36" s="85">
        <f>IF(E36&lt;=$F$67,E36*$G$67,IF(E36&lt;=$F$68,E36*$G$68,IF(E36&lt;=$F$69,E36*$G$69,513.0125)))</f>
        <v/>
      </c>
      <c r="J36" s="94">
        <f>IF(I5=0,0,VLOOKUP(#REF!,$B$6:$I$26,8,0))</f>
        <v/>
      </c>
      <c r="K36" s="95">
        <f>IF(E36+I36&lt;=$K$60,(E36+I36)*J70-J36,IF(E36+I36&lt;=$K$61,(E36+I36)*J71-J36,IF(E36+I36&lt;=$K$62,(E36+I36)*L72-J36,513.0125)))</f>
        <v/>
      </c>
      <c r="L36" s="22" t="n"/>
      <c r="M36" s="32" t="n">
        <v>208.96</v>
      </c>
      <c r="N36" s="32" t="n">
        <v>118.617</v>
      </c>
      <c r="O36" s="32" t="n">
        <v>112.76</v>
      </c>
      <c r="P36" s="32" t="n">
        <v>112.76</v>
      </c>
      <c r="Q36" s="32" t="n">
        <v>112.76</v>
      </c>
      <c r="R36" s="32" t="n">
        <v>0</v>
      </c>
      <c r="S36" s="32" t="n">
        <v>0</v>
      </c>
      <c r="T36" s="32" t="n">
        <v>112.76</v>
      </c>
      <c r="U36" s="32" t="n">
        <v>114.56</v>
      </c>
      <c r="V36" s="32" t="n">
        <v>130.07</v>
      </c>
      <c r="W36" s="32" t="n">
        <v>124.04</v>
      </c>
      <c r="X36" s="32" t="n">
        <v>112.76</v>
      </c>
      <c r="Y36" s="32" t="n">
        <v>51.25</v>
      </c>
      <c r="Z36" s="32" t="n">
        <v>0</v>
      </c>
      <c r="AA36" s="32" t="n">
        <v>114.05</v>
      </c>
      <c r="AB36" s="32" t="n">
        <v>112.76</v>
      </c>
      <c r="AC36" s="63">
        <f>SUM(M36:AB36)</f>
        <v/>
      </c>
      <c r="AD36" s="27" t="n"/>
      <c r="AE36" s="27" t="n"/>
    </row>
    <row r="37" ht="21" customHeight="1">
      <c r="A37" s="93" t="inlineStr">
        <is>
          <t>FRANCA</t>
        </is>
      </c>
      <c r="B37" s="84" t="inlineStr">
        <is>
          <t>CHAPA_12</t>
        </is>
      </c>
      <c r="C37" s="95">
        <f>AC37</f>
        <v/>
      </c>
      <c r="D37" s="95">
        <f>C37*0.1818</f>
        <v/>
      </c>
      <c r="E37" s="95">
        <f>SUM(C37:D37)</f>
        <v/>
      </c>
      <c r="F37" s="95">
        <f>E37*0.1111</f>
        <v/>
      </c>
      <c r="G37" s="95">
        <f>E37*0.083</f>
        <v/>
      </c>
      <c r="H37" s="95">
        <f>SUM(E37:G37)*0.08</f>
        <v/>
      </c>
      <c r="I37" s="94">
        <f>AC6</f>
        <v/>
      </c>
      <c r="J37" s="94">
        <f>IF(I6=0,0,VLOOKUP(#REF!,$B$6:$I$26,8,0))</f>
        <v/>
      </c>
      <c r="K37" s="95">
        <f>IF(E37+I37&lt;=$K$60,(E37+I37)*J71-J37,IF(E37+I37&lt;=$K$61,(E37+I37)*J72-J37,IF(E37+I37&lt;=$K$62,(E37+I37)*L73-J37,513.0125)))</f>
        <v/>
      </c>
      <c r="L37" s="2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63">
        <f>SUM(M37:AB37)</f>
        <v/>
      </c>
      <c r="AD37" s="27" t="n"/>
      <c r="AE37" s="27" t="n"/>
    </row>
    <row r="38" ht="21" customHeight="1">
      <c r="A38" s="93" t="inlineStr">
        <is>
          <t>FRANCA</t>
        </is>
      </c>
      <c r="B38" s="84" t="inlineStr">
        <is>
          <t>CHAPA_14</t>
        </is>
      </c>
      <c r="C38" s="85">
        <f>AC38</f>
        <v/>
      </c>
      <c r="D38" s="85">
        <f>C38*0.1818</f>
        <v/>
      </c>
      <c r="E38" s="85">
        <f>SUM(C38:D38)</f>
        <v/>
      </c>
      <c r="F38" s="85">
        <f>E38*0.1111</f>
        <v/>
      </c>
      <c r="G38" s="85">
        <f>E38*0.083</f>
        <v/>
      </c>
      <c r="H38" s="85">
        <f>SUM(E38:G38)*0.08</f>
        <v/>
      </c>
      <c r="I38" s="85">
        <f>IF(E38&lt;=$F$67,E38*$G$67,IF(E38&lt;=$F$68,E38*$G$68,IF(E38&lt;=$F$69,E38*$G$69,513.0125)))</f>
        <v/>
      </c>
      <c r="J38" s="94">
        <f>IF(I8=0,0,VLOOKUP(B7,$B$6:$I$26,8,0))</f>
        <v/>
      </c>
      <c r="K38" s="95">
        <f>IF(E38+I38&lt;=$K$60,(E38+I38)*J72-J38,IF(E38+I38&lt;=$K$61,(E38+I38)*J73-J38,IF(E38+I38&lt;=$K$62,(E38+I38)*L74-J38,513.0125)))</f>
        <v/>
      </c>
      <c r="L38" s="22" t="n"/>
      <c r="M38" s="32" t="n">
        <v>208.96</v>
      </c>
      <c r="N38" s="32" t="n">
        <v>118.617</v>
      </c>
      <c r="O38" s="32" t="n">
        <v>112.76</v>
      </c>
      <c r="P38" s="32" t="n">
        <v>180.03</v>
      </c>
      <c r="Q38" s="32" t="n">
        <v>112.76</v>
      </c>
      <c r="R38" s="32" t="n">
        <v>178.18</v>
      </c>
      <c r="S38" s="32" t="n">
        <v>0</v>
      </c>
      <c r="T38" s="32" t="n">
        <v>112.76</v>
      </c>
      <c r="U38" s="32" t="n">
        <v>114.56</v>
      </c>
      <c r="V38" s="32" t="n">
        <v>130.07</v>
      </c>
      <c r="W38" s="32" t="n">
        <v>124.05</v>
      </c>
      <c r="X38" s="32" t="n">
        <v>0</v>
      </c>
      <c r="Y38" s="32" t="n">
        <v>51.25</v>
      </c>
      <c r="Z38" s="32" t="n">
        <v>0</v>
      </c>
      <c r="AA38" s="32" t="n">
        <v>114.05</v>
      </c>
      <c r="AB38" s="32" t="n">
        <v>0</v>
      </c>
      <c r="AC38" s="63">
        <f>SUM(M38:AB38)</f>
        <v/>
      </c>
      <c r="AD38" s="27" t="n"/>
      <c r="AE38" s="27" t="n"/>
    </row>
    <row r="39" ht="21" customHeight="1">
      <c r="A39" s="93" t="inlineStr">
        <is>
          <t>FRANCA</t>
        </is>
      </c>
      <c r="B39" s="86" t="inlineStr">
        <is>
          <t>CHAPA_15</t>
        </is>
      </c>
      <c r="C39" s="85">
        <f>AC39</f>
        <v/>
      </c>
      <c r="D39" s="85">
        <f>C39*0.1818</f>
        <v/>
      </c>
      <c r="E39" s="85">
        <f>SUM(C39:D39)</f>
        <v/>
      </c>
      <c r="F39" s="85">
        <f>E39*0.1111</f>
        <v/>
      </c>
      <c r="G39" s="85">
        <f>E39*0.083</f>
        <v/>
      </c>
      <c r="H39" s="85">
        <f>SUM(E39:G39)*0.08</f>
        <v/>
      </c>
      <c r="I39" s="85">
        <f>IF(E39&lt;=$F$67,E39*$G$67,IF(E39&lt;=$F$68,E39*$G$68,IF(E39&lt;=$F$69,E39*$G$69,513.0125)))</f>
        <v/>
      </c>
      <c r="J39" s="94">
        <f>IF(I10=0,0,VLOOKUP(B48,$B$6:$I$26,8,0))</f>
        <v/>
      </c>
      <c r="K39" s="95">
        <f>IF(E39+I39&lt;=$K$60,(E39+I39)*J73-J39,IF(E39+I39&lt;=$K$61,(E39+I39)*J74-J39,IF(E39+I39&lt;=$K$62,(E39+I39)*L75-J39,513.0125)))</f>
        <v/>
      </c>
      <c r="L39" s="22" t="n"/>
      <c r="M39" s="32" t="n">
        <v>208.96</v>
      </c>
      <c r="N39" s="32" t="n">
        <v>118.617</v>
      </c>
      <c r="O39" s="32" t="n">
        <v>102.51</v>
      </c>
      <c r="P39" s="32" t="n">
        <v>112.76</v>
      </c>
      <c r="Q39" s="32" t="n">
        <v>112.76</v>
      </c>
      <c r="R39" s="32" t="n">
        <v>51.25</v>
      </c>
      <c r="S39" s="32" t="n">
        <v>0</v>
      </c>
      <c r="T39" s="32" t="n">
        <v>112.76</v>
      </c>
      <c r="U39" s="32" t="n">
        <v>114.56</v>
      </c>
      <c r="V39" s="32" t="n">
        <v>130.07</v>
      </c>
      <c r="W39" s="32" t="n">
        <v>124.05</v>
      </c>
      <c r="X39" s="32" t="n">
        <v>112.76</v>
      </c>
      <c r="Y39" s="32" t="n">
        <v>51.25</v>
      </c>
      <c r="Z39" s="32" t="n">
        <v>0</v>
      </c>
      <c r="AA39" s="32" t="n">
        <v>114.05</v>
      </c>
      <c r="AB39" s="32" t="n">
        <v>112.76</v>
      </c>
      <c r="AC39" s="63">
        <f>SUM(M39:AB39)</f>
        <v/>
      </c>
      <c r="AD39" s="27" t="n"/>
      <c r="AE39" s="27" t="n"/>
    </row>
    <row r="40" ht="21" customHeight="1">
      <c r="A40" s="93" t="inlineStr">
        <is>
          <t>FRANCA</t>
        </is>
      </c>
      <c r="B40" s="87" t="inlineStr">
        <is>
          <t>CHAPA_17</t>
        </is>
      </c>
      <c r="C40" s="95">
        <f>AC40</f>
        <v/>
      </c>
      <c r="D40" s="95">
        <f>C40*0.1818</f>
        <v/>
      </c>
      <c r="E40" s="95">
        <f>SUM(C40:D40)</f>
        <v/>
      </c>
      <c r="F40" s="95">
        <f>E40*0.1111</f>
        <v/>
      </c>
      <c r="G40" s="95">
        <f>E40*0.083</f>
        <v/>
      </c>
      <c r="H40" s="95">
        <f>SUM(E40:G40)*0.08</f>
        <v/>
      </c>
      <c r="I40" s="94">
        <f>AC10</f>
        <v/>
      </c>
      <c r="J40" s="94">
        <f>IF(I10=0,0,VLOOKUP(B8,$B$6:$I$26,8,0))</f>
        <v/>
      </c>
      <c r="K40" s="95">
        <f>IF(E40+I40&lt;=$K$60,(E40+I40)*J74-J40,IF(E40+I40&lt;=$K$61,(E40+I40)*J75-J40,IF(E40+I40&lt;=$K$62,(E40+I40)*L76-J40,513.0125)))</f>
        <v/>
      </c>
      <c r="L40" s="22" t="n"/>
      <c r="M40" s="32" t="n">
        <v>134</v>
      </c>
      <c r="N40" s="32" t="n">
        <v>118.617</v>
      </c>
      <c r="O40" s="32" t="n">
        <v>112.76</v>
      </c>
      <c r="P40" s="32" t="n">
        <v>137.74</v>
      </c>
      <c r="Q40" s="32" t="n">
        <v>112.76</v>
      </c>
      <c r="R40" s="32" t="n">
        <v>0</v>
      </c>
      <c r="S40" s="32" t="n">
        <v>0</v>
      </c>
      <c r="T40" s="32" t="n">
        <v>0</v>
      </c>
      <c r="U40" s="32" t="n">
        <v>114.56</v>
      </c>
      <c r="V40" s="32" t="n">
        <v>130.08</v>
      </c>
      <c r="W40" s="32" t="n">
        <v>124.05</v>
      </c>
      <c r="X40" s="32" t="n">
        <v>131.98</v>
      </c>
      <c r="Y40" s="32" t="n">
        <v>0</v>
      </c>
      <c r="Z40" s="32" t="n">
        <v>0</v>
      </c>
      <c r="AA40" s="32" t="n">
        <v>114.05</v>
      </c>
      <c r="AB40" s="32" t="n">
        <v>112.76</v>
      </c>
      <c r="AC40" s="63">
        <f>SUM(M40:AB40)</f>
        <v/>
      </c>
      <c r="AD40" s="27" t="n"/>
      <c r="AE40" s="27" t="n"/>
    </row>
    <row r="41" ht="21" customHeight="1">
      <c r="A41" s="93" t="inlineStr">
        <is>
          <t>FRANCA</t>
        </is>
      </c>
      <c r="B41" s="89" t="inlineStr">
        <is>
          <t>CHAPA_26</t>
        </is>
      </c>
      <c r="C41" s="85">
        <f>AC41</f>
        <v/>
      </c>
      <c r="D41" s="85">
        <f>C41*0.1818</f>
        <v/>
      </c>
      <c r="E41" s="85">
        <f>SUM(C41:D41)</f>
        <v/>
      </c>
      <c r="F41" s="85">
        <f>E41*0.1111</f>
        <v/>
      </c>
      <c r="G41" s="85">
        <f>E41*0.083</f>
        <v/>
      </c>
      <c r="H41" s="85">
        <f>SUM(E41:G41)*0.08</f>
        <v/>
      </c>
      <c r="I41" s="85">
        <f>IF(E41&lt;=$F$67,E41*$G$67,IF(E41&lt;=$F$68,E41*$G$68,IF(E41&lt;=$F$69,E41*$G$69,513.0125)))</f>
        <v/>
      </c>
      <c r="J41" s="94">
        <f>IF(I11=0,0,VLOOKUP(B9,$B$6:$I$26,8,0))</f>
        <v/>
      </c>
      <c r="K41" s="95">
        <f>IF(E41+I41&lt;=$K$60,(E41+I41)*J75-J41,IF(E41+I41&lt;=$K$61,(E41+I41)*J76-J41,IF(E41+I41&lt;=$K$62,(E41+I41)*L77-J41,513.0125)))</f>
        <v/>
      </c>
      <c r="L41" s="22" t="n"/>
      <c r="M41" s="32" t="n">
        <v>208.96</v>
      </c>
      <c r="N41" s="32" t="n">
        <v>118.617</v>
      </c>
      <c r="O41" s="32" t="n">
        <v>112.76</v>
      </c>
      <c r="P41" s="32" t="n">
        <v>112.76</v>
      </c>
      <c r="Q41" s="32" t="n">
        <v>112.76</v>
      </c>
      <c r="R41" s="32" t="n">
        <v>51.26</v>
      </c>
      <c r="S41" s="32" t="n">
        <v>0</v>
      </c>
      <c r="T41" s="32" t="n">
        <v>112.76</v>
      </c>
      <c r="U41" s="32" t="n">
        <v>114.56</v>
      </c>
      <c r="V41" s="32" t="n">
        <v>130.08</v>
      </c>
      <c r="W41" s="32" t="n">
        <v>124.05</v>
      </c>
      <c r="X41" s="32" t="n">
        <v>112.76</v>
      </c>
      <c r="Y41" s="32" t="n">
        <v>51.25</v>
      </c>
      <c r="Z41" s="32" t="n">
        <v>0</v>
      </c>
      <c r="AA41" s="32" t="n">
        <v>114.05</v>
      </c>
      <c r="AB41" s="32" t="n">
        <v>112.76</v>
      </c>
      <c r="AC41" s="63">
        <f>SUM(M41:AB41)</f>
        <v/>
      </c>
      <c r="AD41" s="27" t="n"/>
      <c r="AE41" s="27" t="n"/>
    </row>
    <row r="42" ht="21" customHeight="1">
      <c r="A42" s="93" t="inlineStr">
        <is>
          <t>FRANCA</t>
        </is>
      </c>
      <c r="B42" s="89" t="inlineStr">
        <is>
          <t>CHAPA_37</t>
        </is>
      </c>
      <c r="C42" s="85">
        <f>AC42</f>
        <v/>
      </c>
      <c r="D42" s="85">
        <f>C42*0.1818</f>
        <v/>
      </c>
      <c r="E42" s="85">
        <f>SUM(C42:D42)</f>
        <v/>
      </c>
      <c r="F42" s="85">
        <f>E42*0.1111</f>
        <v/>
      </c>
      <c r="G42" s="85">
        <f>E42*0.083</f>
        <v/>
      </c>
      <c r="H42" s="85">
        <f>SUM(E42:G42)*0.08</f>
        <v/>
      </c>
      <c r="I42" s="85">
        <f>IF(E42&lt;=$F$67,E42*$G$67,IF(E42&lt;=$F$68,E42*$G$68,IF(E42&lt;=$F$69,E42*$G$69,513.0125)))</f>
        <v/>
      </c>
      <c r="J42" s="94">
        <f>IF(I13=0,0,VLOOKUP(#REF!,$B$6:$I$26,8,0))</f>
        <v/>
      </c>
      <c r="K42" s="95">
        <f>IF(E42+I42&lt;=$K$60,(E42+I42)*J77-J42,IF(E42+I42&lt;=$K$61,(E42+I42)*J78-J42,IF(E42+I42&lt;=$K$62,(E42+I42)*L79-J42,513.0125)))</f>
        <v/>
      </c>
      <c r="L42" s="22" t="n"/>
      <c r="M42" s="32" t="n">
        <v>157.22</v>
      </c>
      <c r="N42" s="32" t="n">
        <v>118.617</v>
      </c>
      <c r="O42" s="32" t="n">
        <v>112.76</v>
      </c>
      <c r="P42" s="32" t="n">
        <v>0</v>
      </c>
      <c r="Q42" s="32" t="n">
        <v>112.76</v>
      </c>
      <c r="R42" s="32" t="n">
        <v>51.26</v>
      </c>
      <c r="S42" s="32" t="n">
        <v>0</v>
      </c>
      <c r="T42" s="32" t="n">
        <v>112.76</v>
      </c>
      <c r="U42" s="32" t="n">
        <v>114.56</v>
      </c>
      <c r="V42" s="32" t="n">
        <v>96.09999999999999</v>
      </c>
      <c r="W42" s="32" t="n">
        <v>51.26</v>
      </c>
      <c r="X42" s="32" t="n">
        <v>112.76</v>
      </c>
      <c r="Y42" s="32" t="n">
        <v>51.26</v>
      </c>
      <c r="Z42" s="32" t="n">
        <v>0</v>
      </c>
      <c r="AA42" s="32" t="n">
        <v>76.88</v>
      </c>
      <c r="AB42" s="32" t="n">
        <v>0</v>
      </c>
      <c r="AC42" s="63">
        <f>SUM(M42:AB42)</f>
        <v/>
      </c>
      <c r="AD42" s="27" t="n"/>
      <c r="AE42" s="27" t="n"/>
    </row>
    <row r="43" ht="21" customHeight="1">
      <c r="A43" s="93" t="inlineStr">
        <is>
          <t>FRANCA</t>
        </is>
      </c>
      <c r="B43" s="86" t="inlineStr">
        <is>
          <t>CHAPA_38</t>
        </is>
      </c>
      <c r="C43" s="95">
        <f>AC43</f>
        <v/>
      </c>
      <c r="D43" s="95">
        <f>C43*0.1818</f>
        <v/>
      </c>
      <c r="E43" s="95">
        <f>SUM(C43:D43)</f>
        <v/>
      </c>
      <c r="F43" s="95">
        <f>E43*0.1111</f>
        <v/>
      </c>
      <c r="G43" s="95">
        <f>E43*0.083</f>
        <v/>
      </c>
      <c r="H43" s="95">
        <f>SUM(E43:G43)*0.08</f>
        <v/>
      </c>
      <c r="I43" s="94">
        <f>AC15</f>
        <v/>
      </c>
      <c r="J43" s="94">
        <f>IF(I15=0,0,VLOOKUP(#REF!,$B$6:$I$26,8,0))</f>
        <v/>
      </c>
      <c r="K43" s="95">
        <f>IF(E43+I43&lt;=$K$60,(E43+I43)*J79-J43,IF(E43+I43&lt;=$K$61,(E43+I43)*J80-J43,IF(E43+I43&lt;=$K$62,(E43+I43)*L81-J43,513.0125)))</f>
        <v/>
      </c>
      <c r="L43" s="22" t="n"/>
      <c r="M43" s="32" t="n">
        <v>208.96</v>
      </c>
      <c r="N43" s="32" t="n">
        <v>118.617</v>
      </c>
      <c r="O43" s="32" t="n">
        <v>112.76</v>
      </c>
      <c r="P43" s="32" t="n">
        <v>180.03</v>
      </c>
      <c r="Q43" s="32" t="n">
        <v>112.76</v>
      </c>
      <c r="R43" s="32" t="n">
        <v>178.18</v>
      </c>
      <c r="S43" s="32" t="n">
        <v>0</v>
      </c>
      <c r="T43" s="32" t="n">
        <v>141.59</v>
      </c>
      <c r="U43" s="32" t="n">
        <v>114.56</v>
      </c>
      <c r="V43" s="32" t="n">
        <v>130.08</v>
      </c>
      <c r="W43" s="32" t="n">
        <v>152.87</v>
      </c>
      <c r="X43" s="32" t="n">
        <v>112.76</v>
      </c>
      <c r="Y43" s="32" t="n">
        <v>51.26</v>
      </c>
      <c r="Z43" s="32" t="n">
        <v>0</v>
      </c>
      <c r="AA43" s="32" t="n">
        <v>114.06</v>
      </c>
      <c r="AB43" s="32" t="n">
        <v>112.76</v>
      </c>
      <c r="AC43" s="63">
        <f>SUM(M43:AB43)</f>
        <v/>
      </c>
      <c r="AD43" s="27" t="n"/>
      <c r="AE43" s="27" t="n"/>
    </row>
    <row r="44" ht="21" customHeight="1">
      <c r="A44" s="93" t="inlineStr">
        <is>
          <t>FRANCA</t>
        </is>
      </c>
      <c r="B44" s="86" t="inlineStr">
        <is>
          <t>CHAPA_41</t>
        </is>
      </c>
      <c r="C44" s="95">
        <f>AC44</f>
        <v/>
      </c>
      <c r="D44" s="95">
        <f>C44*0.1818</f>
        <v/>
      </c>
      <c r="E44" s="95">
        <f>SUM(C44:D44)</f>
        <v/>
      </c>
      <c r="F44" s="95">
        <f>E44*0.1111</f>
        <v/>
      </c>
      <c r="G44" s="95">
        <f>E44*0.083</f>
        <v/>
      </c>
      <c r="H44" s="95">
        <f>SUM(E44:G44)*0.08</f>
        <v/>
      </c>
      <c r="I44" s="94">
        <f>AC16</f>
        <v/>
      </c>
      <c r="J44" s="94">
        <f>IF(I16=0,0,VLOOKUP(B9,$B$6:$I$26,8,0))</f>
        <v/>
      </c>
      <c r="K44" s="95">
        <f>IF(E44+I44&lt;=$K$60,(E44+I44)*J80-J44,IF(E44+I44&lt;=$K$61,(E44+I44)*J81-J44,IF(E44+I44&lt;=$K$62,(E44+I44)*L82-J44,513.0125)))</f>
        <v/>
      </c>
      <c r="L44" s="22" t="n"/>
      <c r="M44" s="32" t="n">
        <v>208.97</v>
      </c>
      <c r="N44" s="32" t="n">
        <v>118.617</v>
      </c>
      <c r="O44" s="32" t="n">
        <v>102.51</v>
      </c>
      <c r="P44" s="32" t="n">
        <v>112.76</v>
      </c>
      <c r="Q44" s="32" t="n">
        <v>112.76</v>
      </c>
      <c r="R44" s="32" t="n">
        <v>51.26</v>
      </c>
      <c r="S44" s="32" t="n">
        <v>0</v>
      </c>
      <c r="T44" s="32" t="n">
        <v>112.76</v>
      </c>
      <c r="U44" s="32" t="n">
        <v>114.56</v>
      </c>
      <c r="V44" s="32" t="n">
        <v>130.08</v>
      </c>
      <c r="W44" s="32" t="n">
        <v>124.05</v>
      </c>
      <c r="X44" s="32" t="n">
        <v>112.76</v>
      </c>
      <c r="Y44" s="32" t="n">
        <v>51.26</v>
      </c>
      <c r="Z44" s="32" t="n">
        <v>0</v>
      </c>
      <c r="AA44" s="32" t="n">
        <v>114.06</v>
      </c>
      <c r="AB44" s="32" t="n">
        <v>112.76</v>
      </c>
      <c r="AC44" s="63">
        <f>SUM(M44:AB44)</f>
        <v/>
      </c>
      <c r="AD44" s="27" t="n"/>
      <c r="AE44" s="27" t="n"/>
    </row>
    <row r="45" ht="21" customHeight="1">
      <c r="A45" s="93" t="inlineStr">
        <is>
          <t>FRANCA</t>
        </is>
      </c>
      <c r="B45" s="86" t="inlineStr">
        <is>
          <t>CHAPA_43</t>
        </is>
      </c>
      <c r="C45" s="95">
        <f>AC45</f>
        <v/>
      </c>
      <c r="D45" s="95">
        <f>C45*0.1818</f>
        <v/>
      </c>
      <c r="E45" s="95">
        <f>SUM(C45:D45)</f>
        <v/>
      </c>
      <c r="F45" s="95">
        <f>E45*0.1111</f>
        <v/>
      </c>
      <c r="G45" s="95">
        <f>E45*0.083</f>
        <v/>
      </c>
      <c r="H45" s="95">
        <f>SUM(E45:G45)*0.08</f>
        <v/>
      </c>
      <c r="I45" s="94">
        <f>AC17</f>
        <v/>
      </c>
      <c r="J45" s="94">
        <f>IF(I17=0,0,VLOOKUP(B10,$B$6:$I$26,8,0))</f>
        <v/>
      </c>
      <c r="K45" s="95">
        <f>IF(E45+I45&lt;=$K$60,(E45+I45)*J81-J45,IF(E45+I45&lt;=$K$61,(E45+I45)*J82-J45,IF(E45+I45&lt;=$K$62,(E45+I45)*L83-J45,513.0125)))</f>
        <v/>
      </c>
      <c r="L45" s="22" t="n"/>
      <c r="M45" s="32" t="n">
        <v>218.58</v>
      </c>
      <c r="N45" s="32" t="n">
        <v>118.617</v>
      </c>
      <c r="O45" s="32" t="n">
        <v>51.26</v>
      </c>
      <c r="P45" s="32" t="n">
        <v>112.76</v>
      </c>
      <c r="Q45" s="32" t="n">
        <v>131.98</v>
      </c>
      <c r="R45" s="32" t="n">
        <v>0</v>
      </c>
      <c r="S45" s="32" t="n">
        <v>0</v>
      </c>
      <c r="T45" s="32" t="n">
        <v>112.76</v>
      </c>
      <c r="U45" s="32" t="n">
        <v>124.17</v>
      </c>
      <c r="V45" s="32" t="n">
        <v>130.08</v>
      </c>
      <c r="W45" s="32" t="n">
        <v>124.05</v>
      </c>
      <c r="X45" s="32" t="n">
        <v>112.76</v>
      </c>
      <c r="Y45" s="32" t="n">
        <v>51.26</v>
      </c>
      <c r="Z45" s="32" t="n">
        <v>0</v>
      </c>
      <c r="AA45" s="32" t="n">
        <v>114.06</v>
      </c>
      <c r="AB45" s="32" t="n">
        <v>112.76</v>
      </c>
      <c r="AC45" s="63">
        <f>SUM(M45:AB45)</f>
        <v/>
      </c>
      <c r="AD45" s="27" t="n"/>
      <c r="AE45" s="27" t="n"/>
    </row>
    <row r="46" ht="21" customHeight="1">
      <c r="A46" s="93" t="inlineStr">
        <is>
          <t>FRANCA</t>
        </is>
      </c>
      <c r="B46" s="84" t="inlineStr">
        <is>
          <t>CHAPA_46</t>
        </is>
      </c>
      <c r="C46" s="95">
        <f>AC46</f>
        <v/>
      </c>
      <c r="D46" s="95">
        <f>C46*0.1818</f>
        <v/>
      </c>
      <c r="E46" s="95">
        <f>SUM(C46:D46)</f>
        <v/>
      </c>
      <c r="F46" s="95">
        <f>E46*0.1111</f>
        <v/>
      </c>
      <c r="G46" s="95">
        <f>E46*0.083</f>
        <v/>
      </c>
      <c r="H46" s="95">
        <f>SUM(E46:G46)*0.08</f>
        <v/>
      </c>
      <c r="I46" s="94">
        <f>AC18</f>
        <v/>
      </c>
      <c r="J46" s="94">
        <f>IF(I18=0,0,VLOOKUP(B12,$B$6:$I$26,8,0))</f>
        <v/>
      </c>
      <c r="K46" s="95">
        <f>IF(E46+I46&lt;=$K$60,(E46+I46)*J82-J46,IF(E46+I46&lt;=$K$61,(E46+I46)*J83-J46,IF(E46+I46&lt;=$K$62,(E46+I46)*L84-J46,513.0125)))</f>
        <v/>
      </c>
      <c r="L46" s="22" t="n"/>
      <c r="M46" s="32" t="n">
        <v>157.23</v>
      </c>
      <c r="N46" s="32" t="n">
        <v>118.617</v>
      </c>
      <c r="O46" s="32" t="n">
        <v>112.76</v>
      </c>
      <c r="P46" s="32" t="n">
        <v>112.76</v>
      </c>
      <c r="Q46" s="32" t="n">
        <v>112.76</v>
      </c>
      <c r="R46" s="32" t="n">
        <v>0</v>
      </c>
      <c r="S46" s="32" t="n">
        <v>0</v>
      </c>
      <c r="T46" s="32" t="n">
        <v>112.76</v>
      </c>
      <c r="U46" s="32" t="n">
        <v>114.56</v>
      </c>
      <c r="V46" s="32" t="n">
        <v>130.08</v>
      </c>
      <c r="W46" s="32" t="n">
        <v>124.05</v>
      </c>
      <c r="X46" s="32" t="n">
        <v>112.76</v>
      </c>
      <c r="Y46" s="32" t="n">
        <v>51.26</v>
      </c>
      <c r="Z46" s="32" t="n">
        <v>0</v>
      </c>
      <c r="AA46" s="32" t="n">
        <v>114.06</v>
      </c>
      <c r="AB46" s="32" t="n">
        <v>112.76</v>
      </c>
      <c r="AC46" s="63">
        <f>SUM(M46:AB46)</f>
        <v/>
      </c>
      <c r="AD46" s="27" t="n"/>
      <c r="AE46" s="27" t="n"/>
    </row>
    <row r="47" ht="21" customHeight="1">
      <c r="A47" s="93" t="inlineStr">
        <is>
          <t>FRANCA</t>
        </is>
      </c>
      <c r="B47" s="84" t="n"/>
      <c r="C47" s="95" t="n">
        <v>0</v>
      </c>
      <c r="D47" s="95">
        <f>C47*0.1818</f>
        <v/>
      </c>
      <c r="E47" s="95">
        <f>SUM(C47:D47)</f>
        <v/>
      </c>
      <c r="F47" s="95">
        <f>E47*0.1111</f>
        <v/>
      </c>
      <c r="G47" s="95">
        <f>E47*0.083</f>
        <v/>
      </c>
      <c r="H47" s="95">
        <f>SUM(E47:G47)*0.08</f>
        <v/>
      </c>
      <c r="I47" s="94">
        <f>AC19</f>
        <v/>
      </c>
      <c r="J47" s="94">
        <f>IF(I19=0,0,VLOOKUP(#REF!,$B$6:$I$26,8,0))</f>
        <v/>
      </c>
      <c r="K47" s="95">
        <f>IF(E47+I47&lt;=$K$60,(E47+I47)*J83-J47,IF(E47+I47&lt;=$K$61,(E47+I47)*J84-J47,IF(E47+I47&lt;=$K$62,(E47+I47)*L85-J47,513.0125)))</f>
        <v/>
      </c>
      <c r="L47" s="2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63">
        <f>SUM(M47:AA47)</f>
        <v/>
      </c>
      <c r="AD47" s="27" t="n"/>
      <c r="AE47" s="27" t="n"/>
    </row>
    <row r="48" ht="21" customHeight="1">
      <c r="A48" s="93" t="inlineStr">
        <is>
          <t>FRANCA</t>
        </is>
      </c>
      <c r="B48" s="89" t="n"/>
      <c r="C48" s="95">
        <f>AC48</f>
        <v/>
      </c>
      <c r="D48" s="95">
        <f>C48*0.1818</f>
        <v/>
      </c>
      <c r="E48" s="95">
        <f>SUM(C48:D48)</f>
        <v/>
      </c>
      <c r="F48" s="95">
        <f>E48*0.1111</f>
        <v/>
      </c>
      <c r="G48" s="95">
        <f>E48*0.083</f>
        <v/>
      </c>
      <c r="H48" s="95">
        <f>SUM(E48:G48)*0.08</f>
        <v/>
      </c>
      <c r="I48" s="94">
        <f>AC20</f>
        <v/>
      </c>
      <c r="J48" s="94">
        <f>IF(I20=0,0,VLOOKUP(B14,$B$6:$I$26,8,0))</f>
        <v/>
      </c>
      <c r="K48" s="95">
        <f>IF(E48+I48&lt;=$K$60,(E48+I48)*J84-J48,IF(E48+I48&lt;=$K$61,(E48+I48)*J85-J48,IF(E48+I48&lt;=$K$62,(E48+I48)*L86-J48,513.0125)))</f>
        <v/>
      </c>
      <c r="L48" s="2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97" t="n"/>
      <c r="AA48" s="97" t="n"/>
      <c r="AB48" s="97" t="n"/>
      <c r="AC48" s="63">
        <f>SUM(M48:AA48)</f>
        <v/>
      </c>
      <c r="AD48" s="27" t="n"/>
      <c r="AE48" s="27" t="n"/>
    </row>
    <row r="49" ht="21" customHeight="1">
      <c r="A49" s="93" t="inlineStr">
        <is>
          <t>FRANCA</t>
        </is>
      </c>
      <c r="B49" s="86" t="n"/>
      <c r="C49" s="95">
        <f>AC49</f>
        <v/>
      </c>
      <c r="D49" s="95">
        <f>C49*0.1818</f>
        <v/>
      </c>
      <c r="E49" s="95">
        <f>SUM(C49:D49)</f>
        <v/>
      </c>
      <c r="F49" s="95">
        <f>E49*0.1111</f>
        <v/>
      </c>
      <c r="G49" s="95">
        <f>E49*0.083</f>
        <v/>
      </c>
      <c r="H49" s="95">
        <f>SUM(E49:G49)*0.08</f>
        <v/>
      </c>
      <c r="I49" s="94">
        <f>AC21</f>
        <v/>
      </c>
      <c r="J49" s="94">
        <f>IF(I21=0,0,VLOOKUP(B16,$B$6:$I$26,8,0))</f>
        <v/>
      </c>
      <c r="K49" s="95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63">
        <f>SUM(M49:AA49)</f>
        <v/>
      </c>
      <c r="AD49" s="27" t="n"/>
      <c r="AE49" s="27" t="n"/>
    </row>
    <row r="50" ht="21" customHeight="1">
      <c r="A50" s="93" t="inlineStr">
        <is>
          <t>FRANCA</t>
        </is>
      </c>
      <c r="B50" s="86" t="n"/>
      <c r="C50" s="95">
        <f>AC50</f>
        <v/>
      </c>
      <c r="D50" s="95">
        <f>C50*0.1818</f>
        <v/>
      </c>
      <c r="E50" s="95">
        <f>SUM(C50:D50)</f>
        <v/>
      </c>
      <c r="F50" s="95">
        <f>E50*0.1111</f>
        <v/>
      </c>
      <c r="G50" s="95">
        <f>E50*0.083</f>
        <v/>
      </c>
      <c r="H50" s="95">
        <f>SUM(E50:G50)*0.08</f>
        <v/>
      </c>
      <c r="I50" s="94">
        <f>AC22</f>
        <v/>
      </c>
      <c r="J50" s="94">
        <f>IF(I22=0,0,VLOOKUP(#REF!,$B$6:$I$26,8,0))</f>
        <v/>
      </c>
      <c r="K50" s="95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63">
        <f>SUM(M50:AB50)</f>
        <v/>
      </c>
      <c r="AD50" s="27" t="n"/>
      <c r="AE50" s="27" t="n"/>
    </row>
    <row r="51" ht="21" customHeight="1">
      <c r="A51" s="93" t="inlineStr">
        <is>
          <t>FRANCA</t>
        </is>
      </c>
      <c r="B51" s="90" t="n"/>
      <c r="C51" s="95">
        <f>AC51</f>
        <v/>
      </c>
      <c r="D51" s="95">
        <f>C51*0.1818</f>
        <v/>
      </c>
      <c r="E51" s="95">
        <f>SUM(C51:D51)</f>
        <v/>
      </c>
      <c r="F51" s="95">
        <f>E51*0.1111</f>
        <v/>
      </c>
      <c r="G51" s="95">
        <f>E51*0.083</f>
        <v/>
      </c>
      <c r="H51" s="95">
        <f>SUM(E51:G51)*0.08</f>
        <v/>
      </c>
      <c r="I51" s="94">
        <f>AC23</f>
        <v/>
      </c>
      <c r="J51" s="94">
        <f>IF(I23=0,0,VLOOKUP(#REF!,$B$6:$I$26,8,0))</f>
        <v/>
      </c>
      <c r="K51" s="95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63">
        <f>SUM(M51:AA51)</f>
        <v/>
      </c>
      <c r="AD51" s="27" t="n"/>
      <c r="AE51" s="27" t="n"/>
    </row>
    <row r="52" ht="21" customHeight="1">
      <c r="A52" s="93" t="inlineStr">
        <is>
          <t>FRANCA</t>
        </is>
      </c>
      <c r="B52" s="90" t="n"/>
      <c r="C52" s="95">
        <f>AC52</f>
        <v/>
      </c>
      <c r="D52" s="95">
        <f>C52*0.1818</f>
        <v/>
      </c>
      <c r="E52" s="95">
        <f>SUM(C52:D52)</f>
        <v/>
      </c>
      <c r="F52" s="95">
        <f>E52*0.1111</f>
        <v/>
      </c>
      <c r="G52" s="95">
        <f>E52*0.083</f>
        <v/>
      </c>
      <c r="H52" s="95">
        <f>SUM(E52:G52)*0.08</f>
        <v/>
      </c>
      <c r="I52" s="94">
        <f>AC24</f>
        <v/>
      </c>
      <c r="J52" s="94">
        <f>IF(I24=0,0,VLOOKUP(#REF!,$B$6:$I$26,8,0))</f>
        <v/>
      </c>
      <c r="K52" s="95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3">
        <f>SUM(M52:AA52)</f>
        <v/>
      </c>
      <c r="AD52" s="27" t="n"/>
      <c r="AE52" s="27" t="n"/>
    </row>
    <row r="53" ht="21" customHeight="1">
      <c r="A53" s="93" t="inlineStr">
        <is>
          <t>FRANCA</t>
        </is>
      </c>
      <c r="B53" s="90" t="n"/>
      <c r="C53" s="95">
        <f>AC53</f>
        <v/>
      </c>
      <c r="D53" s="95">
        <f>C53*0.1818</f>
        <v/>
      </c>
      <c r="E53" s="95">
        <f>SUM(C53:D53)</f>
        <v/>
      </c>
      <c r="F53" s="95">
        <f>E53*0.1111</f>
        <v/>
      </c>
      <c r="G53" s="95">
        <f>E53*0.083</f>
        <v/>
      </c>
      <c r="H53" s="95">
        <f>SUM(E53:G53)*0.08</f>
        <v/>
      </c>
      <c r="I53" s="94">
        <f>AC25</f>
        <v/>
      </c>
      <c r="J53" s="94">
        <f>IF(I25=0,0,VLOOKUP(#REF!,$B$6:$I$26,8,0))</f>
        <v/>
      </c>
      <c r="K53" s="95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3">
        <f>SUM(M53:AA53)</f>
        <v/>
      </c>
      <c r="AD53" s="27" t="n"/>
      <c r="AE53" s="27" t="n"/>
    </row>
    <row r="54" ht="21" customHeight="1">
      <c r="A54" s="93" t="inlineStr">
        <is>
          <t>FRANCA</t>
        </is>
      </c>
      <c r="B54" s="90" t="n"/>
      <c r="C54" s="95">
        <f>AC54</f>
        <v/>
      </c>
      <c r="D54" s="95">
        <f>C54*0.1818</f>
        <v/>
      </c>
      <c r="E54" s="95">
        <f>SUM(C54:D54)</f>
        <v/>
      </c>
      <c r="F54" s="95">
        <f>E54*0.1111</f>
        <v/>
      </c>
      <c r="G54" s="95">
        <f>E54*0.083</f>
        <v/>
      </c>
      <c r="H54" s="95">
        <f>SUM(E54:G54)*0.08</f>
        <v/>
      </c>
      <c r="I54" s="94">
        <f>AC26</f>
        <v/>
      </c>
      <c r="J54" s="94">
        <f>IF(I26=0,0,VLOOKUP(#REF!,$B$6:$I$26,8,0))</f>
        <v/>
      </c>
      <c r="K54" s="95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3">
        <f>SUM(M54:AA54)</f>
        <v/>
      </c>
      <c r="AD54" s="27" t="n"/>
      <c r="AE54" s="27" t="n"/>
    </row>
    <row r="55" ht="21" customHeight="1" thickBot="1">
      <c r="A55" s="23" t="n"/>
      <c r="B55" s="28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43" t="n"/>
      <c r="N55" s="43" t="n">
        <v>29</v>
      </c>
      <c r="O55" s="43">
        <f>COUNT(#REF!)</f>
        <v/>
      </c>
      <c r="P55" s="43">
        <f>COUNT(#REF!)</f>
        <v/>
      </c>
      <c r="Q55" s="43">
        <f>COUNT(#REF!)</f>
        <v/>
      </c>
      <c r="R55" s="43" t="n"/>
      <c r="S55" s="43">
        <f>COUNT(#REF!)</f>
        <v/>
      </c>
      <c r="T55" s="43">
        <f>COUNT(#REF!)</f>
        <v/>
      </c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23" t="n"/>
      <c r="AE55" s="27" t="n"/>
    </row>
    <row r="56" ht="21.6" customHeight="1" thickBot="1">
      <c r="A56" s="75" t="inlineStr">
        <is>
          <t>MÉDIA DIARIA CHAPAS</t>
        </is>
      </c>
      <c r="B56" s="156" t="n"/>
      <c r="C56" s="52" t="n">
        <v>11</v>
      </c>
      <c r="L56" s="23" t="n"/>
      <c r="M56" s="44" t="inlineStr">
        <is>
          <t>TOTAL GERAL / BOLETIM ENSACADORES:</t>
        </is>
      </c>
      <c r="N56" s="45" t="n"/>
      <c r="O56" s="45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7" t="inlineStr">
        <is>
          <t>TOTAL:</t>
        </is>
      </c>
      <c r="AE56" s="27" t="n"/>
    </row>
    <row r="57" ht="21" customHeight="1">
      <c r="L57" s="23" t="n"/>
      <c r="M57" s="48">
        <f>SUM(M36:M54)</f>
        <v/>
      </c>
      <c r="N57" s="48">
        <f>SUM(N36:N54)</f>
        <v/>
      </c>
      <c r="O57" s="48">
        <f>SUM(O36:O54)</f>
        <v/>
      </c>
      <c r="P57" s="48">
        <f>SUM(P36:P54)</f>
        <v/>
      </c>
      <c r="Q57" s="48">
        <f>SUM(Q36:Q54)</f>
        <v/>
      </c>
      <c r="R57" s="48">
        <f>SUM(R36:R54)</f>
        <v/>
      </c>
      <c r="S57" s="48">
        <f>SUM(S36:S54)</f>
        <v/>
      </c>
      <c r="T57" s="48">
        <f>SUM(T36:T54)</f>
        <v/>
      </c>
      <c r="U57" s="48">
        <f>SUM(U36:U54)</f>
        <v/>
      </c>
      <c r="V57" s="48">
        <f>SUM(V36:V54)</f>
        <v/>
      </c>
      <c r="W57" s="48">
        <f>SUM(W36:W54)</f>
        <v/>
      </c>
      <c r="X57" s="48">
        <f>SUM(X36:X54)</f>
        <v/>
      </c>
      <c r="Y57" s="48">
        <f>SUM(Y36:Y54)</f>
        <v/>
      </c>
      <c r="Z57" s="48">
        <f>SUM(Z36:Z54)</f>
        <v/>
      </c>
      <c r="AA57" s="48">
        <f>SUM(AA36:AA54)</f>
        <v/>
      </c>
      <c r="AB57" s="48">
        <f>SUM(AB36:AB54)</f>
        <v/>
      </c>
      <c r="AC57" s="49" t="n"/>
      <c r="AD57" s="50">
        <f>SUM(M57:AB57)</f>
        <v/>
      </c>
      <c r="AE57" s="27" t="n"/>
    </row>
    <row r="58" ht="20.4" customHeight="1">
      <c r="L58" s="23" t="n"/>
      <c r="AE58" s="27" t="n"/>
    </row>
    <row r="59" ht="20.4" customHeight="1">
      <c r="L59" s="23" t="n"/>
      <c r="AE59" s="27" t="n"/>
    </row>
    <row r="60" ht="20.4" customHeight="1"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27" t="n"/>
    </row>
    <row r="61" ht="20.4" customHeight="1"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7" t="n"/>
    </row>
    <row r="62" ht="21" customHeight="1">
      <c r="A62" s="80" t="n"/>
      <c r="B62" s="23" t="n"/>
      <c r="C62" s="76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7" t="n"/>
    </row>
  </sheetData>
  <mergeCells count="8">
    <mergeCell ref="A34:K34"/>
    <mergeCell ref="M34:AD34"/>
    <mergeCell ref="M4:AC4"/>
    <mergeCell ref="A2:H2"/>
    <mergeCell ref="A3:I3"/>
    <mergeCell ref="A1:H1"/>
    <mergeCell ref="A56:B56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4"/>
  <sheetViews>
    <sheetView topLeftCell="A28" zoomScale="40" zoomScaleNormal="40" workbookViewId="0">
      <selection activeCell="A61" sqref="A61:C61"/>
    </sheetView>
  </sheetViews>
  <sheetFormatPr baseColWidth="8" defaultRowHeight="14.4"/>
  <cols>
    <col width="14.109375" customWidth="1" min="1" max="1"/>
    <col width="60.44140625" bestFit="1" customWidth="1" min="2" max="2"/>
    <col width="16.33203125" bestFit="1" customWidth="1" min="3" max="3"/>
    <col width="15.109375" bestFit="1" customWidth="1" min="4" max="4"/>
    <col width="16.33203125" bestFit="1" customWidth="1" min="5" max="5"/>
    <col width="14.88671875" customWidth="1" min="6" max="6"/>
    <col width="21.6640625" bestFit="1" customWidth="1" min="7" max="7"/>
    <col width="15" bestFit="1" customWidth="1" min="8" max="8"/>
    <col width="14" customWidth="1" min="9" max="9"/>
    <col width="20.88671875" customWidth="1" min="10" max="10"/>
    <col width="20.6640625" customWidth="1" min="11" max="11"/>
    <col width="3" customWidth="1" min="12" max="12"/>
    <col width="15.33203125" customWidth="1" min="13" max="14"/>
    <col width="15.109375" customWidth="1" min="15" max="15"/>
    <col width="14.6640625" customWidth="1" min="16" max="16"/>
    <col width="15.109375" customWidth="1" min="17" max="17"/>
    <col width="15.109375" bestFit="1" customWidth="1" min="18" max="19"/>
    <col width="14.6640625" customWidth="1" min="20" max="20"/>
    <col width="15.109375" customWidth="1" min="21" max="21"/>
    <col width="14.44140625" customWidth="1" min="22" max="22"/>
    <col width="15" customWidth="1" min="23" max="26"/>
    <col width="14.88671875" customWidth="1" min="27" max="28"/>
    <col width="14" customWidth="1" min="29" max="29"/>
    <col width="17.109375" customWidth="1" min="30" max="30"/>
    <col width="10.33203125" bestFit="1" customWidth="1" min="32" max="32"/>
    <col width="20" customWidth="1" min="33" max="33"/>
    <col width="10.33203125" bestFit="1" customWidth="1" min="34" max="34"/>
    <col width="10.33203125" bestFit="1" customWidth="1" min="36" max="37"/>
    <col width="10.33203125" bestFit="1" customWidth="1" min="39" max="39"/>
  </cols>
  <sheetData>
    <row r="1" ht="30" customHeight="1">
      <c r="A1" s="1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3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</row>
    <row r="2" ht="30" customHeight="1" thickBot="1">
      <c r="A2" s="5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7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</row>
    <row r="4" ht="21" customHeigh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" t="n"/>
      <c r="K4" s="11" t="n"/>
      <c r="L4" s="11" t="n"/>
      <c r="M4" s="102" t="inlineStr">
        <is>
          <t>total</t>
        </is>
      </c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63" t="n"/>
      <c r="AC4" s="162" t="n"/>
      <c r="AD4" s="18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 ht="21" customFormat="1" customHeight="1" s="28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23" t="n"/>
      <c r="L5" s="23" t="n"/>
      <c r="M5" s="103" t="n">
        <v>46113</v>
      </c>
      <c r="N5" s="103" t="n">
        <v>46114</v>
      </c>
      <c r="O5" s="103" t="n">
        <v>46115</v>
      </c>
      <c r="P5" s="103" t="n">
        <v>46116</v>
      </c>
      <c r="Q5" s="103" t="n">
        <v>46117</v>
      </c>
      <c r="R5" s="103" t="n">
        <v>46118</v>
      </c>
      <c r="S5" s="103" t="n">
        <v>46119</v>
      </c>
      <c r="T5" s="103" t="n">
        <v>46120</v>
      </c>
      <c r="U5" s="103" t="n">
        <v>46121</v>
      </c>
      <c r="V5" s="103" t="n">
        <v>46122</v>
      </c>
      <c r="W5" s="103" t="n">
        <v>46123</v>
      </c>
      <c r="X5" s="103" t="n">
        <v>46124</v>
      </c>
      <c r="Y5" s="103" t="n">
        <v>46125</v>
      </c>
      <c r="Z5" s="103" t="n">
        <v>46126</v>
      </c>
      <c r="AA5" s="103" t="n">
        <v>46127</v>
      </c>
      <c r="AB5" s="103" t="n"/>
      <c r="AC5" s="83" t="inlineStr">
        <is>
          <t>TOTAL</t>
        </is>
      </c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</row>
    <row r="6" ht="21" customFormat="1" customHeight="1" s="28">
      <c r="A6" s="83" t="inlineStr">
        <is>
          <t>FRANCA</t>
        </is>
      </c>
      <c r="B6" s="84" t="inlineStr">
        <is>
          <t>CHAPA_06</t>
        </is>
      </c>
      <c r="C6" s="85">
        <f>AC6</f>
        <v/>
      </c>
      <c r="D6" s="85">
        <f>C6*0.1818</f>
        <v/>
      </c>
      <c r="E6" s="85">
        <f>SUM(C6:D6)</f>
        <v/>
      </c>
      <c r="F6" s="85">
        <f>E6*0.1111</f>
        <v/>
      </c>
      <c r="G6" s="85">
        <f>E6*0.083</f>
        <v/>
      </c>
      <c r="H6" s="85">
        <f>SUM(E6:G6)*0.08</f>
        <v/>
      </c>
      <c r="I6" s="85">
        <f>IF(E6&lt;=$F$67,E6*$G$67,IF(E6&lt;=$F$68,E6*$G$68,IF(E6&lt;=$F$69,E6*$G$69,513.0125)))</f>
        <v/>
      </c>
      <c r="J6" s="22" t="n"/>
      <c r="K6" s="23" t="n"/>
      <c r="L6" s="23" t="n"/>
      <c r="M6" s="32" t="n">
        <v>81.81999999999999</v>
      </c>
      <c r="N6" s="32" t="n">
        <v>112.76</v>
      </c>
      <c r="O6" s="32" t="n"/>
      <c r="P6" s="32" t="n">
        <v>0</v>
      </c>
      <c r="Q6" s="32" t="n">
        <v>0</v>
      </c>
      <c r="R6" s="32" t="n">
        <v>112.76</v>
      </c>
      <c r="S6" s="32" t="n">
        <v>112.76</v>
      </c>
      <c r="T6" s="32" t="n">
        <v>89.69</v>
      </c>
      <c r="U6" s="32" t="n">
        <v>0</v>
      </c>
      <c r="V6" s="32" t="n">
        <v>112.76</v>
      </c>
      <c r="W6" s="32" t="n">
        <v>51.26</v>
      </c>
      <c r="X6" s="32" t="n">
        <v>0</v>
      </c>
      <c r="Y6" s="32" t="n">
        <v>112.76</v>
      </c>
      <c r="Z6" s="32" t="n">
        <v>64.06</v>
      </c>
      <c r="AA6" s="32" t="n">
        <v>112.76</v>
      </c>
      <c r="AB6" s="32" t="n"/>
      <c r="AC6" s="33">
        <f>SUM(M6:AB6)</f>
        <v/>
      </c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</row>
    <row r="7" ht="21" customFormat="1" customHeight="1" s="28">
      <c r="A7" s="83" t="inlineStr">
        <is>
          <t>FRANCA</t>
        </is>
      </c>
      <c r="B7" s="84" t="inlineStr">
        <is>
          <t>CHAPA_14</t>
        </is>
      </c>
      <c r="C7" s="85">
        <f>AC7</f>
        <v/>
      </c>
      <c r="D7" s="85">
        <f>C7*0.1818</f>
        <v/>
      </c>
      <c r="E7" s="85">
        <f>SUM(C7:D7)</f>
        <v/>
      </c>
      <c r="F7" s="85">
        <f>E7*0.1111</f>
        <v/>
      </c>
      <c r="G7" s="85">
        <f>E7*0.083</f>
        <v/>
      </c>
      <c r="H7" s="85">
        <f>SUM(E7:G7)*0.08</f>
        <v/>
      </c>
      <c r="I7" s="85">
        <f>IF(E7&lt;=$F$67,E7*$G$67,IF(E7&lt;=$F$68,E7*$G$68,IF(E7&lt;=$F$69,E7*$G$69,513.0125)))</f>
        <v/>
      </c>
      <c r="J7" s="22" t="n"/>
      <c r="K7" s="34" t="n"/>
      <c r="L7" s="23" t="n"/>
      <c r="M7" s="32" t="n">
        <v>136.25</v>
      </c>
      <c r="N7" s="32" t="n">
        <v>112.76</v>
      </c>
      <c r="O7" s="32" t="n"/>
      <c r="P7" s="32" t="n">
        <v>70.98999999999999</v>
      </c>
      <c r="Q7" s="32" t="n">
        <v>0</v>
      </c>
      <c r="R7" s="32" t="n">
        <v>141.59</v>
      </c>
      <c r="S7" s="32" t="n">
        <v>112.76</v>
      </c>
      <c r="T7" s="32" t="n">
        <v>113.7</v>
      </c>
      <c r="U7" s="32" t="n">
        <v>51.25</v>
      </c>
      <c r="V7" s="32" t="n">
        <v>112.76</v>
      </c>
      <c r="W7" s="32" t="n">
        <v>51.26</v>
      </c>
      <c r="X7" s="32" t="n">
        <v>0</v>
      </c>
      <c r="Y7" s="32" t="n">
        <v>141.59</v>
      </c>
      <c r="Z7" s="32" t="n">
        <v>112.76</v>
      </c>
      <c r="AA7" s="32" t="n">
        <v>112.76</v>
      </c>
      <c r="AB7" s="32" t="n"/>
      <c r="AC7" s="33">
        <f>SUM(M7:AB7)</f>
        <v/>
      </c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</row>
    <row r="8" ht="21" customFormat="1" customHeight="1" s="28">
      <c r="A8" s="83" t="inlineStr">
        <is>
          <t>FRANCA</t>
        </is>
      </c>
      <c r="B8" s="86" t="inlineStr">
        <is>
          <t>CHAPA_15</t>
        </is>
      </c>
      <c r="C8" s="85">
        <f>AC8</f>
        <v/>
      </c>
      <c r="D8" s="85">
        <f>C8*0.1818</f>
        <v/>
      </c>
      <c r="E8" s="85">
        <f>SUM(C8:D8)</f>
        <v/>
      </c>
      <c r="F8" s="85">
        <f>E8*0.1111</f>
        <v/>
      </c>
      <c r="G8" s="85">
        <f>E8*0.083</f>
        <v/>
      </c>
      <c r="H8" s="85">
        <f>SUM(E8:G8)*0.08</f>
        <v/>
      </c>
      <c r="I8" s="85">
        <f>IF(E8&lt;=$F$67,E8*$G$67,IF(E8&lt;=$F$68,E8*$G$68,IF(E8&lt;=$F$69,E8*$G$69,513.0125)))</f>
        <v/>
      </c>
      <c r="J8" s="22" t="n"/>
      <c r="K8" s="23" t="n"/>
      <c r="L8" s="23" t="n"/>
      <c r="M8" s="32" t="n">
        <v>136.25</v>
      </c>
      <c r="N8" s="32" t="n">
        <v>112.76</v>
      </c>
      <c r="O8" s="32" t="n"/>
      <c r="P8" s="32" t="n">
        <v>70.98999999999999</v>
      </c>
      <c r="Q8" s="32" t="n">
        <v>0</v>
      </c>
      <c r="R8" s="32" t="n">
        <v>112.76</v>
      </c>
      <c r="S8" s="32" t="n">
        <v>112.76</v>
      </c>
      <c r="T8" s="32" t="n">
        <v>113.71</v>
      </c>
      <c r="U8" s="32" t="n">
        <v>138.21</v>
      </c>
      <c r="V8" s="32" t="n">
        <v>112.76</v>
      </c>
      <c r="W8" s="32" t="n">
        <v>51.26</v>
      </c>
      <c r="X8" s="32" t="n">
        <v>0</v>
      </c>
      <c r="Y8" s="32" t="n">
        <v>112.76</v>
      </c>
      <c r="Z8" s="32" t="n">
        <v>112.76</v>
      </c>
      <c r="AA8" s="32" t="n">
        <v>112.76</v>
      </c>
      <c r="AB8" s="32" t="n"/>
      <c r="AC8" s="33">
        <f>SUM(M8:AB8)</f>
        <v/>
      </c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</row>
    <row r="9" ht="21" customFormat="1" customHeight="1" s="28">
      <c r="A9" s="83" t="inlineStr">
        <is>
          <t>FRANCA</t>
        </is>
      </c>
      <c r="B9" s="87" t="inlineStr">
        <is>
          <t>CHAPA_17</t>
        </is>
      </c>
      <c r="C9" s="85">
        <f>AC9</f>
        <v/>
      </c>
      <c r="D9" s="85">
        <f>C9*0.1818</f>
        <v/>
      </c>
      <c r="E9" s="85">
        <f>SUM(C9:D9)</f>
        <v/>
      </c>
      <c r="F9" s="85">
        <f>E9*0.1111</f>
        <v/>
      </c>
      <c r="G9" s="85">
        <f>E9*0.083</f>
        <v/>
      </c>
      <c r="H9" s="85">
        <f>SUM(E9:G9)*0.08</f>
        <v/>
      </c>
      <c r="I9" s="85">
        <f>IF(E9&lt;=$F$67,E9*$G$67,IF(E9&lt;=$F$68,E9*$G$68,IF(E9&lt;=$F$69,E9*$G$69,513.0125)))</f>
        <v/>
      </c>
      <c r="J9" s="22" t="n"/>
      <c r="K9" s="23" t="n"/>
      <c r="L9" s="23" t="n"/>
      <c r="M9" s="32" t="n">
        <v>136.25</v>
      </c>
      <c r="N9" s="32" t="n">
        <v>112.76</v>
      </c>
      <c r="O9" s="32" t="n"/>
      <c r="P9" s="32" t="n">
        <v>0</v>
      </c>
      <c r="Q9" s="32" t="n">
        <v>0</v>
      </c>
      <c r="R9" s="32" t="n">
        <v>112.76</v>
      </c>
      <c r="S9" s="32" t="n">
        <v>112.76</v>
      </c>
      <c r="T9" s="32" t="n">
        <v>113.71</v>
      </c>
      <c r="U9" s="32" t="n">
        <v>138.21</v>
      </c>
      <c r="V9" s="32" t="n">
        <v>51.26</v>
      </c>
      <c r="W9" s="32" t="n">
        <v>0</v>
      </c>
      <c r="X9" s="32" t="n">
        <v>0</v>
      </c>
      <c r="Y9" s="32" t="n">
        <v>112.76</v>
      </c>
      <c r="Z9" s="32" t="n">
        <v>112.76</v>
      </c>
      <c r="AA9" s="32" t="n">
        <v>112.76</v>
      </c>
      <c r="AB9" s="32" t="n"/>
      <c r="AC9" s="33">
        <f>SUM(M9:AB9)</f>
        <v/>
      </c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</row>
    <row r="10" ht="21" customFormat="1" customHeight="1" s="28">
      <c r="A10" s="83" t="inlineStr">
        <is>
          <t>FRANCA</t>
        </is>
      </c>
      <c r="B10" s="89" t="inlineStr">
        <is>
          <t>CHAPA_26</t>
        </is>
      </c>
      <c r="C10" s="85">
        <f>AC10</f>
        <v/>
      </c>
      <c r="D10" s="85">
        <f>C10*0.1818</f>
        <v/>
      </c>
      <c r="E10" s="85">
        <f>SUM(C10:D10)</f>
        <v/>
      </c>
      <c r="F10" s="85">
        <f>E10*0.1111</f>
        <v/>
      </c>
      <c r="G10" s="85">
        <f>E10*0.083</f>
        <v/>
      </c>
      <c r="H10" s="85">
        <f>SUM(E10:G10)*0.08</f>
        <v/>
      </c>
      <c r="I10" s="85">
        <f>IF(E10&lt;=$F$67,E10*$G$67,IF(E10&lt;=$F$68,E10*$G$68,IF(E10&lt;=$F$69,E10*$G$69,513.0125)))</f>
        <v/>
      </c>
      <c r="J10" s="22" t="n"/>
      <c r="K10" s="23" t="n"/>
      <c r="L10" s="23" t="n"/>
      <c r="M10" s="32" t="n">
        <v>136.25</v>
      </c>
      <c r="N10" s="32" t="n">
        <v>112.76</v>
      </c>
      <c r="O10" s="32" t="n"/>
      <c r="P10" s="32" t="n">
        <v>0</v>
      </c>
      <c r="Q10" s="32" t="n">
        <v>0</v>
      </c>
      <c r="R10" s="32" t="n">
        <v>112.76</v>
      </c>
      <c r="S10" s="32" t="n">
        <v>112.76</v>
      </c>
      <c r="T10" s="32" t="n">
        <v>113.71</v>
      </c>
      <c r="U10" s="32" t="n">
        <v>138.21</v>
      </c>
      <c r="V10" s="32" t="n">
        <v>112.76</v>
      </c>
      <c r="W10" s="32" t="n">
        <v>51.25</v>
      </c>
      <c r="X10" s="32" t="n">
        <v>0</v>
      </c>
      <c r="Y10" s="32" t="n">
        <v>112.76</v>
      </c>
      <c r="Z10" s="32" t="n">
        <v>112.76</v>
      </c>
      <c r="AA10" s="32" t="n">
        <v>112.76</v>
      </c>
      <c r="AB10" s="88" t="n"/>
      <c r="AC10" s="33">
        <f>SUM(M10:AB10)</f>
        <v/>
      </c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</row>
    <row r="11" ht="21" customFormat="1" customHeight="1" s="28">
      <c r="A11" s="83" t="inlineStr">
        <is>
          <t>FRANCA</t>
        </is>
      </c>
      <c r="B11" s="86" t="inlineStr">
        <is>
          <t>CHAPA_38</t>
        </is>
      </c>
      <c r="C11" s="85">
        <f>AC11</f>
        <v/>
      </c>
      <c r="D11" s="85">
        <f>C11*0.1818</f>
        <v/>
      </c>
      <c r="E11" s="85">
        <f>SUM(C11:D11)</f>
        <v/>
      </c>
      <c r="F11" s="85">
        <f>E11*0.1111</f>
        <v/>
      </c>
      <c r="G11" s="85">
        <f>E11*0.083</f>
        <v/>
      </c>
      <c r="H11" s="85">
        <f>SUM(E11:G11)*0.08</f>
        <v/>
      </c>
      <c r="I11" s="85">
        <f>IF(E11&lt;=$F$67,E11*$G$67,IF(E11&lt;=$F$68,E11*$G$68,IF(E11&lt;=$F$69,E11*$G$69,513.0125)))</f>
        <v/>
      </c>
      <c r="J11" s="22" t="n"/>
      <c r="K11" s="23" t="n"/>
      <c r="L11" s="23" t="n"/>
      <c r="M11" s="32" t="n">
        <v>145.86</v>
      </c>
      <c r="N11" s="32" t="n">
        <v>122.37</v>
      </c>
      <c r="O11" s="32" t="n"/>
      <c r="P11" s="32" t="n">
        <v>70.98999999999999</v>
      </c>
      <c r="Q11" s="32" t="n">
        <v>0</v>
      </c>
      <c r="R11" s="32" t="n">
        <v>112.76</v>
      </c>
      <c r="S11" s="32" t="n">
        <v>112.76</v>
      </c>
      <c r="T11" s="32" t="n">
        <v>123.31</v>
      </c>
      <c r="U11" s="32" t="n">
        <v>147.83</v>
      </c>
      <c r="V11" s="32" t="n">
        <v>112.76</v>
      </c>
      <c r="W11" s="32" t="n">
        <v>0</v>
      </c>
      <c r="X11" s="32" t="n">
        <v>0</v>
      </c>
      <c r="Y11" s="32" t="n">
        <v>131.98</v>
      </c>
      <c r="Z11" s="32" t="n">
        <v>112.76</v>
      </c>
      <c r="AA11" s="32" t="n">
        <v>112.76</v>
      </c>
      <c r="AB11" s="32" t="n"/>
      <c r="AC11" s="33">
        <f>SUM(M11:AB11)</f>
        <v/>
      </c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</row>
    <row r="12" ht="21" customFormat="1" customHeight="1" s="28">
      <c r="A12" s="83" t="inlineStr">
        <is>
          <t>FRANCA</t>
        </is>
      </c>
      <c r="B12" s="86" t="inlineStr">
        <is>
          <t>CHAPA_41</t>
        </is>
      </c>
      <c r="C12" s="85">
        <f>AC12</f>
        <v/>
      </c>
      <c r="D12" s="85">
        <f>C12*0.1818</f>
        <v/>
      </c>
      <c r="E12" s="85">
        <f>SUM(C12:D12)</f>
        <v/>
      </c>
      <c r="F12" s="85">
        <f>E12*0.1111</f>
        <v/>
      </c>
      <c r="G12" s="85">
        <f>E12*0.083</f>
        <v/>
      </c>
      <c r="H12" s="85">
        <f>SUM(E12:G12)*0.08</f>
        <v/>
      </c>
      <c r="I12" s="85">
        <f>IF(E12&lt;=$F$67,E12*$G$67,IF(E12&lt;=$F$68,E12*$G$68,IF(E12&lt;=$F$69,E12*$G$69,513.0125)))</f>
        <v/>
      </c>
      <c r="J12" s="22" t="n"/>
      <c r="K12" s="23" t="n"/>
      <c r="L12" s="23" t="n"/>
      <c r="M12" s="32" t="n">
        <v>136.25</v>
      </c>
      <c r="N12" s="32" t="n">
        <v>112.76</v>
      </c>
      <c r="O12" s="32" t="n"/>
      <c r="P12" s="32" t="n">
        <v>70.98999999999999</v>
      </c>
      <c r="Q12" s="32" t="n">
        <v>0</v>
      </c>
      <c r="R12" s="32" t="n">
        <v>112.76</v>
      </c>
      <c r="S12" s="32" t="n">
        <v>112.76</v>
      </c>
      <c r="T12" s="32" t="n">
        <v>113.71</v>
      </c>
      <c r="U12" s="32" t="n">
        <v>138.22</v>
      </c>
      <c r="V12" s="32" t="n">
        <v>112.76</v>
      </c>
      <c r="W12" s="32" t="n">
        <v>0</v>
      </c>
      <c r="X12" s="32" t="n">
        <v>0</v>
      </c>
      <c r="Y12" s="32" t="n">
        <v>112.76</v>
      </c>
      <c r="Z12" s="32" t="n">
        <v>112.76</v>
      </c>
      <c r="AA12" s="32" t="n">
        <v>112.76</v>
      </c>
      <c r="AB12" s="32" t="n"/>
      <c r="AC12" s="33">
        <f>SUM(M12:AB12)</f>
        <v/>
      </c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</row>
    <row r="13" ht="21" customFormat="1" customHeight="1" s="28">
      <c r="A13" s="83" t="inlineStr">
        <is>
          <t>FRANCA</t>
        </is>
      </c>
      <c r="B13" s="86" t="inlineStr">
        <is>
          <t>CHAPA_43</t>
        </is>
      </c>
      <c r="C13" s="85">
        <f>AC13</f>
        <v/>
      </c>
      <c r="D13" s="85">
        <f>C13*0.1818</f>
        <v/>
      </c>
      <c r="E13" s="85">
        <f>SUM(C13:D13)</f>
        <v/>
      </c>
      <c r="F13" s="85">
        <f>E13*0.1111</f>
        <v/>
      </c>
      <c r="G13" s="85">
        <f>E13*0.083</f>
        <v/>
      </c>
      <c r="H13" s="85">
        <f>SUM(E13:G13)*0.08</f>
        <v/>
      </c>
      <c r="I13" s="85">
        <f>IF(E13&lt;=$F$67,E13*$G$67,IF(E13&lt;=$F$68,E13*$G$68,IF(E13&lt;=$F$69,E13*$G$69,513.0125)))</f>
        <v/>
      </c>
      <c r="J13" s="22" t="n"/>
      <c r="K13" s="23" t="n"/>
      <c r="L13" s="23" t="n"/>
      <c r="M13" s="32" t="n">
        <v>136.25</v>
      </c>
      <c r="N13" s="32" t="n">
        <v>112.76</v>
      </c>
      <c r="O13" s="32" t="n"/>
      <c r="P13" s="32" t="n">
        <v>0</v>
      </c>
      <c r="Q13" s="32" t="n">
        <v>0</v>
      </c>
      <c r="R13" s="32" t="n">
        <v>112.76</v>
      </c>
      <c r="S13" s="32" t="n">
        <v>112.76</v>
      </c>
      <c r="T13" s="32" t="n">
        <v>113.71</v>
      </c>
      <c r="U13" s="32" t="n">
        <v>138.22</v>
      </c>
      <c r="V13" s="32" t="n">
        <v>112.76</v>
      </c>
      <c r="W13" s="32" t="n">
        <v>51.25</v>
      </c>
      <c r="X13" s="32" t="n">
        <v>0</v>
      </c>
      <c r="Y13" s="32" t="n">
        <v>112.76</v>
      </c>
      <c r="Z13" s="32" t="n">
        <v>112.76</v>
      </c>
      <c r="AA13" s="32" t="n">
        <v>112.76</v>
      </c>
      <c r="AB13" s="32" t="n"/>
      <c r="AC13" s="33">
        <f>SUM(M13:AB13)</f>
        <v/>
      </c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</row>
    <row r="14" ht="21" customFormat="1" customHeight="1" s="28">
      <c r="A14" s="83" t="inlineStr">
        <is>
          <t>FRANCA</t>
        </is>
      </c>
      <c r="B14" s="84" t="inlineStr">
        <is>
          <t>CHAPA_46</t>
        </is>
      </c>
      <c r="C14" s="85">
        <f>AC14</f>
        <v/>
      </c>
      <c r="D14" s="85">
        <f>C14*0.1818</f>
        <v/>
      </c>
      <c r="E14" s="85">
        <f>SUM(C14:D14)</f>
        <v/>
      </c>
      <c r="F14" s="85">
        <f>E14*0.1111</f>
        <v/>
      </c>
      <c r="G14" s="85">
        <f>E14*0.083</f>
        <v/>
      </c>
      <c r="H14" s="85">
        <f>SUM(E14:G14)*0.08</f>
        <v/>
      </c>
      <c r="I14" s="85">
        <f>IF(E14&lt;=$F$67,E14*$G$67,IF(E14&lt;=$F$68,E14*$G$68,IF(E14&lt;=$F$69,E14*$G$69,513.0125)))</f>
        <v/>
      </c>
      <c r="J14" s="22" t="n"/>
      <c r="K14" s="23" t="n"/>
      <c r="L14" s="23" t="n"/>
      <c r="M14" s="32" t="n">
        <v>0</v>
      </c>
      <c r="N14" s="32" t="n">
        <v>0</v>
      </c>
      <c r="O14" s="32" t="n"/>
      <c r="P14" s="32" t="n">
        <v>0</v>
      </c>
      <c r="Q14" s="32" t="n">
        <v>0</v>
      </c>
      <c r="R14" s="32" t="n">
        <v>112.76</v>
      </c>
      <c r="S14" s="32" t="n">
        <v>112.76</v>
      </c>
      <c r="T14" s="32" t="n">
        <v>113.71</v>
      </c>
      <c r="U14" s="32" t="n">
        <v>138.22</v>
      </c>
      <c r="V14" s="32" t="n">
        <v>112.76</v>
      </c>
      <c r="W14" s="32" t="n">
        <v>51.25</v>
      </c>
      <c r="X14" s="32" t="n">
        <v>0</v>
      </c>
      <c r="Y14" s="32" t="n">
        <v>112.76</v>
      </c>
      <c r="Z14" s="32" t="n">
        <v>112.77</v>
      </c>
      <c r="AA14" s="32" t="n">
        <v>112.76</v>
      </c>
      <c r="AB14" s="32" t="n"/>
      <c r="AC14" s="33">
        <f>SUM(M14:AB14)</f>
        <v/>
      </c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</row>
    <row r="15" ht="21" customFormat="1" customHeight="1" s="28">
      <c r="A15" s="83" t="inlineStr">
        <is>
          <t>FRANCA</t>
        </is>
      </c>
      <c r="B15" s="86" t="n"/>
      <c r="C15" s="85">
        <f>AC15</f>
        <v/>
      </c>
      <c r="D15" s="85">
        <f>C15*0.1818</f>
        <v/>
      </c>
      <c r="E15" s="85">
        <f>SUM(C15:D15)</f>
        <v/>
      </c>
      <c r="F15" s="85">
        <f>E15*0.1111</f>
        <v/>
      </c>
      <c r="G15" s="85">
        <f>E15*0.083</f>
        <v/>
      </c>
      <c r="H15" s="85">
        <f>SUM(E15:G15)*0.08</f>
        <v/>
      </c>
      <c r="I15" s="85">
        <f>IF(E15&lt;=$F$67,E15*$G$67,IF(E15&lt;=$F$68,E15*$G$68,IF(E15&lt;=$F$69,E15*$G$69,513.0125)))</f>
        <v/>
      </c>
      <c r="J15" s="22" t="n"/>
      <c r="K15" s="23" t="n"/>
      <c r="L15" s="23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3">
        <f>SUM(M15:AB15)</f>
        <v/>
      </c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</row>
    <row r="16" ht="21" customFormat="1" customHeight="1" s="28">
      <c r="A16" s="83" t="inlineStr">
        <is>
          <t>FRANCA</t>
        </is>
      </c>
      <c r="B16" s="84" t="n"/>
      <c r="C16" s="85">
        <f>AC16</f>
        <v/>
      </c>
      <c r="D16" s="85">
        <f>C16*0.1818</f>
        <v/>
      </c>
      <c r="E16" s="85">
        <f>SUM(C16:D16)</f>
        <v/>
      </c>
      <c r="F16" s="85">
        <f>E16*0.1111</f>
        <v/>
      </c>
      <c r="G16" s="85">
        <f>E16*0.083</f>
        <v/>
      </c>
      <c r="H16" s="85">
        <f>SUM(E16:G16)*0.08</f>
        <v/>
      </c>
      <c r="I16" s="85">
        <f>IF(E16&lt;=$F$67,E16*$G$67,IF(E16&lt;=$F$68,E16*$G$68,IF(E16&lt;=$F$69,E16*$G$69,513.0125)))</f>
        <v/>
      </c>
      <c r="J16" s="22" t="n"/>
      <c r="K16" s="23" t="n"/>
      <c r="L16" s="23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3">
        <f>SUM(M16:AB16)</f>
        <v/>
      </c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</row>
    <row r="17" ht="21" customFormat="1" customHeight="1" s="28">
      <c r="A17" s="83" t="inlineStr">
        <is>
          <t>FRANCA</t>
        </is>
      </c>
      <c r="B17" s="90" t="n"/>
      <c r="C17" s="85">
        <f>AC17</f>
        <v/>
      </c>
      <c r="D17" s="85">
        <f>C17*0.1818</f>
        <v/>
      </c>
      <c r="E17" s="85">
        <f>SUM(C17:D17)</f>
        <v/>
      </c>
      <c r="F17" s="85">
        <f>E17*0.1111</f>
        <v/>
      </c>
      <c r="G17" s="85">
        <f>E17*0.083</f>
        <v/>
      </c>
      <c r="H17" s="85">
        <f>SUM(E17:G17)*0.08</f>
        <v/>
      </c>
      <c r="I17" s="85">
        <f>IF(E17&lt;=$F$67,E17*$G$67,IF(E17&lt;=$F$68,E17*$G$68,IF(E17&lt;=$F$69,E17*$G$69,513.0125)))</f>
        <v/>
      </c>
      <c r="J17" s="22" t="n"/>
      <c r="K17" s="23" t="n"/>
      <c r="L17" s="23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SUM(M17:AA17)</f>
        <v/>
      </c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</row>
    <row r="18" ht="21" customFormat="1" customHeight="1" s="28">
      <c r="A18" s="83" t="inlineStr">
        <is>
          <t>FRANCA</t>
        </is>
      </c>
      <c r="B18" s="90" t="n"/>
      <c r="C18" s="85">
        <f>AC18</f>
        <v/>
      </c>
      <c r="D18" s="85">
        <f>C18*0.1818</f>
        <v/>
      </c>
      <c r="E18" s="85">
        <f>SUM(C18:D18)</f>
        <v/>
      </c>
      <c r="F18" s="85">
        <f>E18*0.1111</f>
        <v/>
      </c>
      <c r="G18" s="85">
        <f>E18*0.083</f>
        <v/>
      </c>
      <c r="H18" s="85">
        <f>SUM(E18:G18)*0.08</f>
        <v/>
      </c>
      <c r="I18" s="85">
        <f>IF(E18&lt;=$F$67,E18*$G$67,IF(E18&lt;=$F$68,E18*$G$68,IF(E18&lt;=$F$69,E18*$G$69,513.0125)))</f>
        <v/>
      </c>
      <c r="J18" s="22" t="n"/>
      <c r="K18" s="23" t="n"/>
      <c r="L18" s="23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SUM(M18:AA18)</f>
        <v/>
      </c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</row>
    <row r="19" ht="21" customFormat="1" customHeight="1" s="28">
      <c r="A19" s="83" t="inlineStr">
        <is>
          <t>FRANCA</t>
        </is>
      </c>
      <c r="B19" s="86" t="n"/>
      <c r="C19" s="85">
        <f>AC19</f>
        <v/>
      </c>
      <c r="D19" s="85">
        <f>C19*0.1818</f>
        <v/>
      </c>
      <c r="E19" s="85">
        <f>SUM(C19:D19)</f>
        <v/>
      </c>
      <c r="F19" s="85">
        <f>E19*0.1111</f>
        <v/>
      </c>
      <c r="G19" s="85">
        <f>E19*0.083</f>
        <v/>
      </c>
      <c r="H19" s="85">
        <f>SUM(E19:G19)*0.08</f>
        <v/>
      </c>
      <c r="I19" s="85">
        <f>IF(E19&lt;=$F$67,E19*$G$67,IF(E19&lt;=$F$68,E19*$G$68,IF(E19&lt;=$F$69,E19*$G$69,513.0125)))</f>
        <v/>
      </c>
      <c r="J19" s="22" t="n"/>
      <c r="K19" s="23" t="n"/>
      <c r="L19" s="23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SUM(M19:AA19)</f>
        <v/>
      </c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</row>
    <row r="20" ht="21" customFormat="1" customHeight="1" s="28">
      <c r="A20" s="83" t="inlineStr">
        <is>
          <t>FRANCA</t>
        </is>
      </c>
      <c r="B20" s="86" t="n"/>
      <c r="C20" s="85">
        <f>AC20</f>
        <v/>
      </c>
      <c r="D20" s="85">
        <f>C20*0.1818</f>
        <v/>
      </c>
      <c r="E20" s="85">
        <f>SUM(C20:D20)</f>
        <v/>
      </c>
      <c r="F20" s="85">
        <f>E20*0.1111</f>
        <v/>
      </c>
      <c r="G20" s="85">
        <f>E20*0.083</f>
        <v/>
      </c>
      <c r="H20" s="85">
        <f>SUM(E20:G20)*0.08</f>
        <v/>
      </c>
      <c r="I20" s="85">
        <f>IF(E20&lt;=$F$67,E20*$G$67,IF(E20&lt;=$F$68,E20*$G$68,IF(E20&lt;=$F$69,E20*$G$69,513.0125)))</f>
        <v/>
      </c>
      <c r="J20" s="22" t="n"/>
      <c r="K20" s="23" t="n"/>
      <c r="L20" s="23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SUM(M20:AA20)</f>
        <v/>
      </c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</row>
    <row r="21" ht="21" customFormat="1" customHeight="1" s="28">
      <c r="A21" s="83" t="inlineStr">
        <is>
          <t>FRANCA</t>
        </is>
      </c>
      <c r="B21" s="89" t="n"/>
      <c r="C21" s="85">
        <f>AC21</f>
        <v/>
      </c>
      <c r="D21" s="85">
        <f>C21*0.1818</f>
        <v/>
      </c>
      <c r="E21" s="85">
        <f>SUM(C21:D21)</f>
        <v/>
      </c>
      <c r="F21" s="85">
        <f>E21*0.1111</f>
        <v/>
      </c>
      <c r="G21" s="85">
        <f>E21*0.083</f>
        <v/>
      </c>
      <c r="H21" s="85">
        <f>SUM(E21:G21)*0.08</f>
        <v/>
      </c>
      <c r="I21" s="85">
        <f>IF(E21&lt;=$F$67,E21*$G$67,IF(E21&lt;=$F$68,E21*$G$68,IF(E21&lt;=$F$69,E21*$G$69,513.0125)))</f>
        <v/>
      </c>
      <c r="J21" s="22" t="n"/>
      <c r="K21" s="23" t="n"/>
      <c r="L21" s="23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SUM(M21:AA21)</f>
        <v/>
      </c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</row>
    <row r="22" ht="21" customFormat="1" customHeight="1" s="28">
      <c r="A22" s="83" t="inlineStr">
        <is>
          <t>FRANCA</t>
        </is>
      </c>
      <c r="B22" s="89" t="n"/>
      <c r="C22" s="85">
        <f>AC22</f>
        <v/>
      </c>
      <c r="D22" s="85">
        <f>C22*0.1818</f>
        <v/>
      </c>
      <c r="E22" s="85">
        <f>SUM(C22:D22)</f>
        <v/>
      </c>
      <c r="F22" s="85">
        <f>E22*0.1111</f>
        <v/>
      </c>
      <c r="G22" s="85">
        <f>E22*0.083</f>
        <v/>
      </c>
      <c r="H22" s="85">
        <f>SUM(E22:G22)*0.08</f>
        <v/>
      </c>
      <c r="I22" s="85">
        <f>IF(E22&lt;=$F$67,E22*$G$67,IF(E22&lt;=$F$68,E22*$G$68,IF(E22&lt;=$F$69,E22*$G$69,513.0125)))</f>
        <v/>
      </c>
      <c r="J22" s="22" t="n"/>
      <c r="K22" s="23" t="n"/>
      <c r="L22" s="23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SUM(M22:AA22)</f>
        <v/>
      </c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</row>
    <row r="23" ht="21" customFormat="1" customHeight="1" s="28">
      <c r="A23" s="83" t="inlineStr">
        <is>
          <t>FRANCA</t>
        </is>
      </c>
      <c r="B23" s="89" t="n"/>
      <c r="C23" s="85">
        <f>AC23</f>
        <v/>
      </c>
      <c r="D23" s="85">
        <f>C23*0.1818</f>
        <v/>
      </c>
      <c r="E23" s="85">
        <f>SUM(C23:D23)</f>
        <v/>
      </c>
      <c r="F23" s="85">
        <f>E23*0.1111</f>
        <v/>
      </c>
      <c r="G23" s="85">
        <f>E23*0.083</f>
        <v/>
      </c>
      <c r="H23" s="85">
        <f>SUM(E23:G23)*0.08</f>
        <v/>
      </c>
      <c r="I23" s="85">
        <f>IF(E23&lt;=$F$67,E23*$G$67,IF(E23&lt;=$F$68,E23*$G$68,IF(E23&lt;=$F$69,E23*$G$69,513.0125)))</f>
        <v/>
      </c>
      <c r="J23" s="22" t="n"/>
      <c r="K23" s="23" t="n"/>
      <c r="L23" s="23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SUM(M23:AA23)</f>
        <v/>
      </c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</row>
    <row r="24" ht="21" customFormat="1" customHeight="1" s="28">
      <c r="A24" s="83" t="inlineStr">
        <is>
          <t>FRANCA</t>
        </is>
      </c>
      <c r="B24" s="91" t="n"/>
      <c r="C24" s="85">
        <f>AC24</f>
        <v/>
      </c>
      <c r="D24" s="85">
        <f>C24*0.1818</f>
        <v/>
      </c>
      <c r="E24" s="85">
        <f>SUM(C24:D24)</f>
        <v/>
      </c>
      <c r="F24" s="85">
        <f>E24*0.1111</f>
        <v/>
      </c>
      <c r="G24" s="85">
        <f>E24*0.083</f>
        <v/>
      </c>
      <c r="H24" s="85">
        <f>SUM(E24:G24)*0.08</f>
        <v/>
      </c>
      <c r="I24" s="85">
        <f>IF(E24&lt;=$F$67,E24*$G$67,IF(E24&lt;=$F$68,E24*$G$68,IF(E24&lt;=$F$69,E24*$G$69,513.0125)))</f>
        <v/>
      </c>
      <c r="J24" s="22" t="n"/>
      <c r="K24" s="23" t="n"/>
      <c r="L24" s="23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SUM(M24:AA24)</f>
        <v/>
      </c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</row>
    <row r="25" ht="21" customFormat="1" customHeight="1" s="28">
      <c r="A25" s="83" t="inlineStr">
        <is>
          <t>FRANCA</t>
        </is>
      </c>
      <c r="B25" s="89" t="n"/>
      <c r="C25" s="85">
        <f>AC25</f>
        <v/>
      </c>
      <c r="D25" s="85">
        <f>C25*0.1818</f>
        <v/>
      </c>
      <c r="E25" s="85">
        <f>SUM(C25:D25)</f>
        <v/>
      </c>
      <c r="F25" s="85">
        <f>E25*0.1111</f>
        <v/>
      </c>
      <c r="G25" s="85">
        <f>E25*0.083</f>
        <v/>
      </c>
      <c r="H25" s="85">
        <f>SUM(E25:G25)*0.08</f>
        <v/>
      </c>
      <c r="I25" s="85">
        <f>IF(E25&lt;=$F$67,E25*$G$67,IF(E25&lt;=$F$68,E25*$G$68,IF(E25&lt;=$F$69,E25*$G$69,513.0125)))</f>
        <v/>
      </c>
      <c r="J25" s="22" t="n"/>
      <c r="K25" s="23" t="n"/>
      <c r="L25" s="23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SUM(M25:AA25)</f>
        <v/>
      </c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</row>
    <row r="26" ht="21" customFormat="1" customHeight="1" s="28">
      <c r="A26" s="83" t="n"/>
      <c r="B26" s="89" t="n"/>
      <c r="C26" s="85">
        <f>AC26</f>
        <v/>
      </c>
      <c r="D26" s="85">
        <f>C26*0.1818</f>
        <v/>
      </c>
      <c r="E26" s="85">
        <f>SUM(C26:D26)</f>
        <v/>
      </c>
      <c r="F26" s="85">
        <f>E26*0.1111</f>
        <v/>
      </c>
      <c r="G26" s="85">
        <f>E26*0.083</f>
        <v/>
      </c>
      <c r="H26" s="85">
        <f>SUM(E26:G26)*0.08</f>
        <v/>
      </c>
      <c r="I26" s="85">
        <f>IF(E26&lt;=$F$67,E26*$G$67,IF(E26&lt;=$F$68,E26*$G$68,IF(E26&lt;=$F$69,E26*$G$69,513.0125)))</f>
        <v/>
      </c>
      <c r="J26" s="22" t="n"/>
      <c r="K26" s="23" t="n"/>
      <c r="L26" s="23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SUM(M26:AA26)</f>
        <v/>
      </c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</row>
    <row r="27" ht="21" customFormat="1" customHeight="1" s="28" thickBot="1">
      <c r="A27" s="23" t="n"/>
      <c r="B27" s="35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43">
        <f>COUNT(M26:M26)</f>
        <v/>
      </c>
      <c r="N27" s="43">
        <f>COUNT(N26:N26)</f>
        <v/>
      </c>
      <c r="O27" s="43">
        <f>COUNT(O26:O26)</f>
        <v/>
      </c>
      <c r="P27" s="43">
        <f>COUNT(P26:P26)</f>
        <v/>
      </c>
      <c r="Q27" s="43">
        <f>COUNT(Q26:Q26)</f>
        <v/>
      </c>
      <c r="R27" s="43" t="n"/>
      <c r="S27" s="43">
        <f>COUNT(S26:S26)</f>
        <v/>
      </c>
      <c r="T27" s="43">
        <f>COUNT(T26:T26)</f>
        <v/>
      </c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23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</row>
    <row r="28" ht="21" customFormat="1" customHeight="1" s="28">
      <c r="J28" s="23" t="n"/>
      <c r="K28" s="23" t="n"/>
      <c r="L28" s="23" t="n"/>
      <c r="M28" s="44" t="inlineStr">
        <is>
          <t>TOTAL GERAL / BOLETIM ENSACADORES:</t>
        </is>
      </c>
      <c r="N28" s="45" t="n"/>
      <c r="O28" s="45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7" t="inlineStr">
        <is>
          <t>TOTAL:</t>
        </is>
      </c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 ht="21" customFormat="1" customHeight="1" s="28">
      <c r="J29" s="23" t="n"/>
      <c r="K29" s="23" t="n"/>
      <c r="L29" s="23" t="n"/>
      <c r="M29" s="48">
        <f>SUM(M6:M26)</f>
        <v/>
      </c>
      <c r="N29" s="48">
        <f>SUM(N6:N26)</f>
        <v/>
      </c>
      <c r="O29" s="48" t="n"/>
      <c r="P29" s="48">
        <f>SUM(P6:P26)</f>
        <v/>
      </c>
      <c r="Q29" s="48">
        <f>SUM(Q6:Q26)</f>
        <v/>
      </c>
      <c r="R29" s="48">
        <f>SUM(R6:R26)</f>
        <v/>
      </c>
      <c r="S29" s="48">
        <f>SUM(S6:S26)</f>
        <v/>
      </c>
      <c r="T29" s="48">
        <f>SUM(T6:T26)</f>
        <v/>
      </c>
      <c r="U29" s="48">
        <f>SUM(U6:U26)</f>
        <v/>
      </c>
      <c r="V29" s="48">
        <f>SUM(V6:V26)</f>
        <v/>
      </c>
      <c r="W29" s="48">
        <f>SUM(W6:W26)</f>
        <v/>
      </c>
      <c r="X29" s="48">
        <f>SUM(X6:X26)</f>
        <v/>
      </c>
      <c r="Y29" s="48">
        <f>SUM(Y6:Y26)</f>
        <v/>
      </c>
      <c r="Z29" s="48">
        <f>SUM(Z6:Z26)</f>
        <v/>
      </c>
      <c r="AA29" s="48">
        <f>SUM(AA6:AA26)</f>
        <v/>
      </c>
      <c r="AB29" s="49" t="n"/>
      <c r="AC29" s="49" t="n"/>
      <c r="AD29" s="50">
        <f>SUM(M29:AB29)</f>
        <v/>
      </c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 ht="21" customFormat="1" customHeight="1" s="28" thickBot="1">
      <c r="J30" s="23" t="n"/>
      <c r="K30" s="23" t="n"/>
      <c r="L30" s="23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 ht="21.6" customFormat="1" customHeight="1" s="28" thickBot="1">
      <c r="A31" s="51" t="inlineStr">
        <is>
          <t>MÉDIA DIÁRIA CHAPAS</t>
        </is>
      </c>
      <c r="B31" s="51" t="n"/>
      <c r="C31" s="52" t="n">
        <v>11</v>
      </c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 ht="20.4" customFormat="1" customHeight="1" s="2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 ht="21.6" customFormat="1" customHeight="1" s="28" thickBot="1">
      <c r="A33" s="5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 ht="21" customFormat="1" customHeight="1" s="28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4" t="n"/>
      <c r="AF34" s="4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</row>
    <row r="35" ht="21" customFormat="1" customHeight="1" s="28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103" t="n">
        <v>46128</v>
      </c>
      <c r="N35" s="103" t="n">
        <v>46129</v>
      </c>
      <c r="O35" s="103" t="n">
        <v>46130</v>
      </c>
      <c r="P35" s="103" t="n">
        <v>46131</v>
      </c>
      <c r="Q35" s="103" t="n">
        <v>46132</v>
      </c>
      <c r="R35" s="103" t="n">
        <v>46133</v>
      </c>
      <c r="S35" s="103" t="n">
        <v>46134</v>
      </c>
      <c r="T35" s="103" t="n">
        <v>46135</v>
      </c>
      <c r="U35" s="103" t="n">
        <v>46136</v>
      </c>
      <c r="V35" s="103" t="n">
        <v>46137</v>
      </c>
      <c r="W35" s="103" t="n">
        <v>46138</v>
      </c>
      <c r="X35" s="103" t="n">
        <v>46139</v>
      </c>
      <c r="Y35" s="103" t="n">
        <v>46140</v>
      </c>
      <c r="Z35" s="103" t="n">
        <v>46141</v>
      </c>
      <c r="AA35" s="103" t="n">
        <v>46142</v>
      </c>
      <c r="AB35" s="103" t="n"/>
      <c r="AC35" s="83" t="inlineStr">
        <is>
          <t>TOTAL</t>
        </is>
      </c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</row>
    <row r="36" ht="21" customFormat="1" customHeight="1" s="28">
      <c r="A36" s="93" t="inlineStr">
        <is>
          <t>FRANCA</t>
        </is>
      </c>
      <c r="B36" s="84" t="inlineStr">
        <is>
          <t>CHAPA_06</t>
        </is>
      </c>
      <c r="C36" s="85">
        <f>AC36</f>
        <v/>
      </c>
      <c r="D36" s="85">
        <f>C36*0.1818</f>
        <v/>
      </c>
      <c r="E36" s="85">
        <f>SUM(C36:D36)</f>
        <v/>
      </c>
      <c r="F36" s="85">
        <f>E36*0.1111</f>
        <v/>
      </c>
      <c r="G36" s="85">
        <f>E36*0.083</f>
        <v/>
      </c>
      <c r="H36" s="85">
        <f>SUM(E36:G36)*0.08</f>
        <v/>
      </c>
      <c r="I36" s="85">
        <f>IF(E36&lt;=$F$67,E36*$G$67,IF(E36&lt;=$F$68,E36*$G$68,IF(E36&lt;=$F$69,E36*$G$69,513.0125)))</f>
        <v/>
      </c>
      <c r="J36" s="94">
        <f>IF(I5=0,0,VLOOKUP(#REF!,$B$6:$I$26,8,0))</f>
        <v/>
      </c>
      <c r="K36" s="95">
        <f>IF(E36+I36&lt;=$K$60,(E36+I36)*J70-J36,IF(E36+I36&lt;=$K$61,(E36+I36)*J71-J36,IF(E36+I36&lt;=$K$62,(E36+I36)*L72-J36,513.0125)))</f>
        <v/>
      </c>
      <c r="L36" s="22" t="n"/>
      <c r="M36" s="32" t="n">
        <v>112.76</v>
      </c>
      <c r="N36" s="32" t="n">
        <v>112.76</v>
      </c>
      <c r="O36" s="32" t="n">
        <v>0</v>
      </c>
      <c r="P36" s="32" t="n">
        <v>0</v>
      </c>
      <c r="Q36" s="32" t="n">
        <v>112.76</v>
      </c>
      <c r="R36" s="32" t="n"/>
      <c r="S36" s="32" t="n">
        <v>51.25</v>
      </c>
      <c r="T36" s="32" t="n">
        <v>112.76</v>
      </c>
      <c r="U36" s="32" t="n">
        <v>70.47</v>
      </c>
      <c r="V36" s="32" t="n">
        <v>51.25</v>
      </c>
      <c r="W36" s="32" t="n">
        <v>0</v>
      </c>
      <c r="X36" s="32" t="n">
        <v>112.76</v>
      </c>
      <c r="Y36" s="32" t="n">
        <v>112.76</v>
      </c>
      <c r="Z36" s="32" t="n">
        <v>112.76</v>
      </c>
      <c r="AA36" s="32" t="n">
        <v>112.76</v>
      </c>
      <c r="AB36" s="32" t="n"/>
      <c r="AC36" s="63">
        <f>SUM(M36:AB36)</f>
        <v/>
      </c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</row>
    <row r="37" ht="21" customFormat="1" customHeight="1" s="28">
      <c r="A37" s="93" t="inlineStr">
        <is>
          <t>FRANCA</t>
        </is>
      </c>
      <c r="B37" s="84" t="inlineStr">
        <is>
          <t>CHAPA_14</t>
        </is>
      </c>
      <c r="C37" s="95">
        <f>AC37</f>
        <v/>
      </c>
      <c r="D37" s="95">
        <f>C37*0.1818</f>
        <v/>
      </c>
      <c r="E37" s="95">
        <f>SUM(C37:D37)</f>
        <v/>
      </c>
      <c r="F37" s="95">
        <f>E37*0.1111</f>
        <v/>
      </c>
      <c r="G37" s="95">
        <f>E37*0.083</f>
        <v/>
      </c>
      <c r="H37" s="95">
        <f>SUM(E37:G37)*0.08</f>
        <v/>
      </c>
      <c r="I37" s="94">
        <f>AC6</f>
        <v/>
      </c>
      <c r="J37" s="94">
        <f>IF(I6=0,0,VLOOKUP(#REF!,$B$6:$I$26,8,0))</f>
        <v/>
      </c>
      <c r="K37" s="95">
        <f>IF(E37+I37&lt;=$K$60,(E37+I37)*J71-J37,IF(E37+I37&lt;=$K$61,(E37+I37)*J72-J37,IF(E37+I37&lt;=$K$62,(E37+I37)*L73-J37,513.0125)))</f>
        <v/>
      </c>
      <c r="L37" s="22" t="n"/>
      <c r="M37" s="32" t="n">
        <v>112.76</v>
      </c>
      <c r="N37" s="32" t="n">
        <v>112.76</v>
      </c>
      <c r="O37" s="32" t="n">
        <v>0</v>
      </c>
      <c r="P37" s="32" t="n">
        <v>0</v>
      </c>
      <c r="Q37" s="32" t="n">
        <v>112.76</v>
      </c>
      <c r="R37" s="32" t="n"/>
      <c r="S37" s="32" t="n">
        <v>51.25</v>
      </c>
      <c r="T37" s="32" t="n">
        <v>112.76</v>
      </c>
      <c r="U37" s="32" t="n">
        <v>112.76</v>
      </c>
      <c r="V37" s="32" t="n">
        <v>51.25</v>
      </c>
      <c r="W37" s="32" t="n">
        <v>0</v>
      </c>
      <c r="X37" s="32" t="n">
        <v>112.76</v>
      </c>
      <c r="Y37" s="32" t="n">
        <v>112.76</v>
      </c>
      <c r="Z37" s="32" t="n">
        <v>0</v>
      </c>
      <c r="AA37" s="32" t="n">
        <v>112.76</v>
      </c>
      <c r="AB37" s="32" t="n"/>
      <c r="AC37" s="63">
        <f>SUM(M37:AB37)</f>
        <v/>
      </c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</row>
    <row r="38" ht="21" customFormat="1" customHeight="1" s="28">
      <c r="A38" s="93" t="inlineStr">
        <is>
          <t>FRANCA</t>
        </is>
      </c>
      <c r="B38" s="86" t="inlineStr">
        <is>
          <t>CHAPA_15</t>
        </is>
      </c>
      <c r="C38" s="85">
        <f>AC38</f>
        <v/>
      </c>
      <c r="D38" s="85">
        <f>C38*0.1818</f>
        <v/>
      </c>
      <c r="E38" s="85">
        <f>SUM(C38:D38)</f>
        <v/>
      </c>
      <c r="F38" s="85">
        <f>E38*0.1111</f>
        <v/>
      </c>
      <c r="G38" s="85">
        <f>E38*0.083</f>
        <v/>
      </c>
      <c r="H38" s="85">
        <f>SUM(E38:G38)*0.08</f>
        <v/>
      </c>
      <c r="I38" s="85">
        <f>IF(E38&lt;=$F$67,E38*$G$67,IF(E38&lt;=$F$68,E38*$G$68,IF(E38&lt;=$F$69,E38*$G$69,513.0125)))</f>
        <v/>
      </c>
      <c r="J38" s="94">
        <f>IF(I8=0,0,VLOOKUP(#REF!,$B$6:$I$26,8,0))</f>
        <v/>
      </c>
      <c r="K38" s="95">
        <f>IF(E38+I38&lt;=$K$60,(E38+I38)*J72-J38,IF(E38+I38&lt;=$K$61,(E38+I38)*J73-J38,IF(E38+I38&lt;=$K$62,(E38+I38)*L74-J38,513.0125)))</f>
        <v/>
      </c>
      <c r="L38" s="22" t="n"/>
      <c r="M38" s="32" t="n">
        <v>112.76</v>
      </c>
      <c r="N38" s="32" t="n">
        <v>51.26</v>
      </c>
      <c r="O38" s="32" t="n">
        <v>51.25</v>
      </c>
      <c r="P38" s="32" t="n">
        <v>0</v>
      </c>
      <c r="Q38" s="32" t="n">
        <v>112.76</v>
      </c>
      <c r="R38" s="32" t="n"/>
      <c r="S38" s="32" t="n">
        <v>51.26</v>
      </c>
      <c r="T38" s="32" t="n">
        <v>112.76</v>
      </c>
      <c r="U38" s="32" t="n">
        <v>0</v>
      </c>
      <c r="V38" s="32" t="n">
        <v>0</v>
      </c>
      <c r="W38" s="32" t="n">
        <v>0</v>
      </c>
      <c r="X38" s="32" t="n">
        <v>112.76</v>
      </c>
      <c r="Y38" s="32" t="n">
        <v>112.76</v>
      </c>
      <c r="Z38" s="32" t="n">
        <v>112.76</v>
      </c>
      <c r="AA38" s="32" t="n">
        <v>112.76</v>
      </c>
      <c r="AB38" s="32" t="n"/>
      <c r="AC38" s="63">
        <f>SUM(M38:AB38)</f>
        <v/>
      </c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</row>
    <row r="39" ht="21" customFormat="1" customHeight="1" s="28">
      <c r="A39" s="93" t="inlineStr">
        <is>
          <t>FRANCA</t>
        </is>
      </c>
      <c r="B39" s="87" t="inlineStr">
        <is>
          <t>CHAPA_17</t>
        </is>
      </c>
      <c r="C39" s="85">
        <f>AC39</f>
        <v/>
      </c>
      <c r="D39" s="85">
        <f>C39*0.1818</f>
        <v/>
      </c>
      <c r="E39" s="85">
        <f>SUM(C39:D39)</f>
        <v/>
      </c>
      <c r="F39" s="85">
        <f>E39*0.1111</f>
        <v/>
      </c>
      <c r="G39" s="85">
        <f>E39*0.083</f>
        <v/>
      </c>
      <c r="H39" s="85">
        <f>SUM(E39:G39)*0.08</f>
        <v/>
      </c>
      <c r="I39" s="85">
        <f>IF(E39&lt;=$F$67,E39*$G$67,IF(E39&lt;=$F$68,E39*$G$68,IF(E39&lt;=$F$69,E39*$G$69,513.0125)))</f>
        <v/>
      </c>
      <c r="J39" s="94">
        <f>IF(I10=0,0,VLOOKUP(B48,$B$6:$I$26,8,0))</f>
        <v/>
      </c>
      <c r="K39" s="95">
        <f>IF(E39+I39&lt;=$K$60,(E39+I39)*J73-J39,IF(E39+I39&lt;=$K$61,(E39+I39)*J74-J39,IF(E39+I39&lt;=$K$62,(E39+I39)*L75-J39,513.0125)))</f>
        <v/>
      </c>
      <c r="L39" s="22" t="n"/>
      <c r="M39" s="32" t="n">
        <v>112.76</v>
      </c>
      <c r="N39" s="32" t="n">
        <v>112.76</v>
      </c>
      <c r="O39" s="32" t="n">
        <v>0</v>
      </c>
      <c r="P39" s="32" t="n">
        <v>0</v>
      </c>
      <c r="Q39" s="32" t="n">
        <v>112.76</v>
      </c>
      <c r="R39" s="32" t="n"/>
      <c r="S39" s="32" t="n">
        <v>112.76</v>
      </c>
      <c r="T39" s="32" t="n">
        <v>112.76</v>
      </c>
      <c r="U39" s="32" t="n">
        <v>141.59</v>
      </c>
      <c r="V39" s="32" t="n">
        <v>51.26</v>
      </c>
      <c r="W39" s="32" t="n">
        <v>0</v>
      </c>
      <c r="X39" s="32" t="n">
        <v>112.76</v>
      </c>
      <c r="Y39" s="32" t="n">
        <v>112.76</v>
      </c>
      <c r="Z39" s="32" t="n">
        <v>112.76</v>
      </c>
      <c r="AA39" s="32" t="n">
        <v>112.76</v>
      </c>
      <c r="AB39" s="32" t="n"/>
      <c r="AC39" s="63">
        <f>SUM(M39:AB39)</f>
        <v/>
      </c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</row>
    <row r="40" ht="21" customFormat="1" customHeight="1" s="28">
      <c r="A40" s="93" t="inlineStr">
        <is>
          <t>FRANCA</t>
        </is>
      </c>
      <c r="B40" s="89" t="inlineStr">
        <is>
          <t>CHAPA_26</t>
        </is>
      </c>
      <c r="C40" s="95">
        <f>AC40</f>
        <v/>
      </c>
      <c r="D40" s="95">
        <f>C40*0.1818</f>
        <v/>
      </c>
      <c r="E40" s="95">
        <f>SUM(C40:D40)</f>
        <v/>
      </c>
      <c r="F40" s="95">
        <f>E40*0.1111</f>
        <v/>
      </c>
      <c r="G40" s="95">
        <f>E40*0.083</f>
        <v/>
      </c>
      <c r="H40" s="95">
        <f>SUM(E40:G40)*0.08</f>
        <v/>
      </c>
      <c r="I40" s="94">
        <f>AC10</f>
        <v/>
      </c>
      <c r="J40" s="94">
        <f>IF(I10=0,0,VLOOKUP(#REF!,$B$6:$I$26,8,0))</f>
        <v/>
      </c>
      <c r="K40" s="95">
        <f>IF(E40+I40&lt;=$K$60,(E40+I40)*J74-J40,IF(E40+I40&lt;=$K$61,(E40+I40)*J75-J40,IF(E40+I40&lt;=$K$62,(E40+I40)*L76-J40,513.0125)))</f>
        <v/>
      </c>
      <c r="L40" s="22" t="n"/>
      <c r="M40" s="32" t="n">
        <v>112.76</v>
      </c>
      <c r="N40" s="32" t="n">
        <v>112.76</v>
      </c>
      <c r="O40" s="32" t="n">
        <v>51.25</v>
      </c>
      <c r="P40" s="32" t="n">
        <v>0</v>
      </c>
      <c r="Q40" s="32" t="n">
        <v>112.76</v>
      </c>
      <c r="R40" s="32" t="n"/>
      <c r="S40" s="32" t="n">
        <v>112.76</v>
      </c>
      <c r="T40" s="32" t="n">
        <v>112.76</v>
      </c>
      <c r="U40" s="32" t="n">
        <v>112.76</v>
      </c>
      <c r="V40" s="32" t="n">
        <v>0</v>
      </c>
      <c r="W40" s="32" t="n">
        <v>0</v>
      </c>
      <c r="X40" s="32" t="n">
        <v>112.76</v>
      </c>
      <c r="Y40" s="32" t="n">
        <v>112.76</v>
      </c>
      <c r="Z40" s="32" t="n">
        <v>112.76</v>
      </c>
      <c r="AA40" s="32" t="n">
        <v>112.76</v>
      </c>
      <c r="AB40" s="32" t="n"/>
      <c r="AC40" s="63">
        <f>SUM(M40:AB40)</f>
        <v/>
      </c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</row>
    <row r="41" ht="21" customFormat="1" customHeight="1" s="28">
      <c r="A41" s="93" t="inlineStr">
        <is>
          <t>FRANCA</t>
        </is>
      </c>
      <c r="B41" s="86" t="inlineStr">
        <is>
          <t>CHAPA_38</t>
        </is>
      </c>
      <c r="C41" s="85">
        <f>AC41</f>
        <v/>
      </c>
      <c r="D41" s="85">
        <f>C41*0.1818</f>
        <v/>
      </c>
      <c r="E41" s="85">
        <f>SUM(C41:D41)</f>
        <v/>
      </c>
      <c r="F41" s="85">
        <f>E41*0.1111</f>
        <v/>
      </c>
      <c r="G41" s="85">
        <f>E41*0.083</f>
        <v/>
      </c>
      <c r="H41" s="85">
        <f>SUM(E41:G41)*0.08</f>
        <v/>
      </c>
      <c r="I41" s="85">
        <f>IF(E41&lt;=$F$67,E41*$G$67,IF(E41&lt;=$F$68,E41*$G$68,IF(E41&lt;=$F$69,E41*$G$69,513.0125)))</f>
        <v/>
      </c>
      <c r="J41" s="94">
        <f>IF(I11=0,0,VLOOKUP(#REF!,$B$6:$I$26,8,0))</f>
        <v/>
      </c>
      <c r="K41" s="95">
        <f>IF(E41+I41&lt;=$K$60,(E41+I41)*J75-J41,IF(E41+I41&lt;=$K$61,(E41+I41)*J76-J41,IF(E41+I41&lt;=$K$62,(E41+I41)*L77-J41,513.0125)))</f>
        <v/>
      </c>
      <c r="L41" s="22" t="n"/>
      <c r="M41" s="32" t="n">
        <v>112.76</v>
      </c>
      <c r="N41" s="32" t="n">
        <v>112.76</v>
      </c>
      <c r="O41" s="32" t="n">
        <v>51.26</v>
      </c>
      <c r="P41" s="32" t="n">
        <v>0</v>
      </c>
      <c r="Q41" s="32" t="n">
        <v>112.76</v>
      </c>
      <c r="R41" s="32" t="n"/>
      <c r="S41" s="32" t="n">
        <v>112.76</v>
      </c>
      <c r="T41" s="32" t="n">
        <v>112.76</v>
      </c>
      <c r="U41" s="32" t="n">
        <v>112.76</v>
      </c>
      <c r="V41" s="32" t="n">
        <v>0</v>
      </c>
      <c r="W41" s="32" t="n">
        <v>0</v>
      </c>
      <c r="X41" s="32" t="n">
        <v>112.76</v>
      </c>
      <c r="Y41" s="32" t="n">
        <v>112.76</v>
      </c>
      <c r="Z41" s="32" t="n">
        <v>112.76</v>
      </c>
      <c r="AA41" s="32" t="n">
        <v>112.76</v>
      </c>
      <c r="AB41" s="32" t="n"/>
      <c r="AC41" s="63">
        <f>SUM(M41:AB41)</f>
        <v/>
      </c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</row>
    <row r="42" ht="21" customFormat="1" customHeight="1" s="28">
      <c r="A42" s="93" t="inlineStr">
        <is>
          <t>FRANCA</t>
        </is>
      </c>
      <c r="B42" s="86" t="inlineStr">
        <is>
          <t>CHAPA_41</t>
        </is>
      </c>
      <c r="C42" s="85">
        <f>AC42</f>
        <v/>
      </c>
      <c r="D42" s="85">
        <f>C42*0.1818</f>
        <v/>
      </c>
      <c r="E42" s="85">
        <f>SUM(C42:D42)</f>
        <v/>
      </c>
      <c r="F42" s="85">
        <f>E42*0.1111</f>
        <v/>
      </c>
      <c r="G42" s="85">
        <f>E42*0.083</f>
        <v/>
      </c>
      <c r="H42" s="85">
        <f>SUM(E42:G42)*0.08</f>
        <v/>
      </c>
      <c r="I42" s="85">
        <f>IF(E42&lt;=$F$67,E42*$G$67,IF(E42&lt;=$F$68,E42*$G$68,IF(E42&lt;=$F$69,E42*$G$69,513.0125)))</f>
        <v/>
      </c>
      <c r="J42" s="94">
        <f>IF(I13=0,0,VLOOKUP(#REF!,$B$6:$I$26,8,0))</f>
        <v/>
      </c>
      <c r="K42" s="95">
        <f>IF(E42+I42&lt;=$K$60,(E42+I42)*J77-J42,IF(E42+I42&lt;=$K$61,(E42+I42)*J78-J42,IF(E42+I42&lt;=$K$62,(E42+I42)*L79-J42,513.0125)))</f>
        <v/>
      </c>
      <c r="L42" s="22" t="n"/>
      <c r="M42" s="32" t="n">
        <v>112.76</v>
      </c>
      <c r="N42" s="32" t="n">
        <v>112.76</v>
      </c>
      <c r="O42" s="32" t="n">
        <v>51.26</v>
      </c>
      <c r="P42" s="32" t="n">
        <v>0</v>
      </c>
      <c r="Q42" s="32" t="n">
        <v>0</v>
      </c>
      <c r="R42" s="32" t="n"/>
      <c r="S42" s="32" t="n">
        <v>112.76</v>
      </c>
      <c r="T42" s="32" t="n">
        <v>112.76</v>
      </c>
      <c r="U42" s="32" t="n">
        <v>112.76</v>
      </c>
      <c r="V42" s="32" t="n">
        <v>51.26</v>
      </c>
      <c r="W42" s="32" t="n">
        <v>0</v>
      </c>
      <c r="X42" s="32" t="n">
        <v>112.76</v>
      </c>
      <c r="Y42" s="32" t="n">
        <v>112.76</v>
      </c>
      <c r="Z42" s="32" t="n">
        <v>112.77</v>
      </c>
      <c r="AA42" s="32" t="n">
        <v>112.76</v>
      </c>
      <c r="AB42" s="32" t="n"/>
      <c r="AC42" s="63">
        <f>SUM(M42:AB42)</f>
        <v/>
      </c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</row>
    <row r="43" ht="21" customFormat="1" customHeight="1" s="28">
      <c r="A43" s="93" t="inlineStr">
        <is>
          <t>FRANCA</t>
        </is>
      </c>
      <c r="B43" s="86" t="inlineStr">
        <is>
          <t>CHAPA_43</t>
        </is>
      </c>
      <c r="C43" s="95">
        <f>AC43</f>
        <v/>
      </c>
      <c r="D43" s="95">
        <f>C43*0.1818</f>
        <v/>
      </c>
      <c r="E43" s="95">
        <f>SUM(C43:D43)</f>
        <v/>
      </c>
      <c r="F43" s="95">
        <f>E43*0.1111</f>
        <v/>
      </c>
      <c r="G43" s="95">
        <f>E43*0.083</f>
        <v/>
      </c>
      <c r="H43" s="95">
        <f>SUM(E43:G43)*0.08</f>
        <v/>
      </c>
      <c r="I43" s="94">
        <f>AC15</f>
        <v/>
      </c>
      <c r="J43" s="94">
        <f>IF(I15=0,0,VLOOKUP(#REF!,$B$6:$I$26,8,0))</f>
        <v/>
      </c>
      <c r="K43" s="95">
        <f>IF(E43+I43&lt;=$K$60,(E43+I43)*J79-J43,IF(E43+I43&lt;=$K$61,(E43+I43)*J80-J43,IF(E43+I43&lt;=$K$62,(E43+I43)*L81-J43,513.0125)))</f>
        <v/>
      </c>
      <c r="L43" s="22" t="n"/>
      <c r="M43" s="32" t="n">
        <v>112.76</v>
      </c>
      <c r="N43" s="32" t="n">
        <v>112.76</v>
      </c>
      <c r="O43" s="32" t="n">
        <v>51.26</v>
      </c>
      <c r="P43" s="32" t="n">
        <v>0</v>
      </c>
      <c r="Q43" s="32" t="n">
        <v>112.76</v>
      </c>
      <c r="R43" s="32" t="n"/>
      <c r="S43" s="32" t="n">
        <v>51.26</v>
      </c>
      <c r="T43" s="32" t="n">
        <v>112.76</v>
      </c>
      <c r="U43" s="32" t="n">
        <v>112.76</v>
      </c>
      <c r="V43" s="32" t="n">
        <v>51.26</v>
      </c>
      <c r="W43" s="32" t="n">
        <v>0</v>
      </c>
      <c r="X43" s="32" t="n">
        <v>112.76</v>
      </c>
      <c r="Y43" s="32" t="n">
        <v>112.76</v>
      </c>
      <c r="Z43" s="32" t="n">
        <v>51.25</v>
      </c>
      <c r="AA43" s="32" t="n">
        <v>0</v>
      </c>
      <c r="AB43" s="32" t="n"/>
      <c r="AC43" s="63">
        <f>SUM(M43:AB43)</f>
        <v/>
      </c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</row>
    <row r="44" ht="21" customFormat="1" customHeight="1" s="28">
      <c r="A44" s="93" t="inlineStr">
        <is>
          <t>FRANCA</t>
        </is>
      </c>
      <c r="B44" s="84" t="inlineStr">
        <is>
          <t>CHAPA_46</t>
        </is>
      </c>
      <c r="C44" s="95">
        <f>AC44</f>
        <v/>
      </c>
      <c r="D44" s="95">
        <f>C44*0.1818</f>
        <v/>
      </c>
      <c r="E44" s="95">
        <f>SUM(C44:D44)</f>
        <v/>
      </c>
      <c r="F44" s="95">
        <f>E44*0.1111</f>
        <v/>
      </c>
      <c r="G44" s="95">
        <f>E44*0.083</f>
        <v/>
      </c>
      <c r="H44" s="95">
        <f>SUM(E44:G44)*0.08</f>
        <v/>
      </c>
      <c r="I44" s="94">
        <f>AC16</f>
        <v/>
      </c>
      <c r="J44" s="94">
        <f>IF(I16=0,0,VLOOKUP(#REF!,$B$6:$I$26,8,0))</f>
        <v/>
      </c>
      <c r="K44" s="95">
        <f>IF(E44+I44&lt;=$K$60,(E44+I44)*J80-J44,IF(E44+I44&lt;=$K$61,(E44+I44)*J81-J44,IF(E44+I44&lt;=$K$62,(E44+I44)*L82-J44,513.0125)))</f>
        <v/>
      </c>
      <c r="L44" s="22" t="n"/>
      <c r="M44" s="32" t="n">
        <v>112.76</v>
      </c>
      <c r="N44" s="32" t="n">
        <v>112.76</v>
      </c>
      <c r="O44" s="32" t="n">
        <v>0</v>
      </c>
      <c r="P44" s="32" t="n">
        <v>0</v>
      </c>
      <c r="Q44" s="32" t="n">
        <v>112.76</v>
      </c>
      <c r="R44" s="32" t="n"/>
      <c r="S44" s="32" t="n">
        <v>0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112.76</v>
      </c>
      <c r="Y44" s="32" t="n">
        <v>112.76</v>
      </c>
      <c r="Z44" s="32" t="n">
        <v>0</v>
      </c>
      <c r="AA44" s="32" t="n">
        <v>112.76</v>
      </c>
      <c r="AB44" s="32" t="n"/>
      <c r="AC44" s="63">
        <f>SUM(M44:AB44)</f>
        <v/>
      </c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</row>
    <row r="45" ht="21" customFormat="1" customHeight="1" s="28">
      <c r="A45" s="93" t="inlineStr">
        <is>
          <t>FRANCA</t>
        </is>
      </c>
      <c r="B45" s="90" t="n"/>
      <c r="C45" s="95">
        <f>AC45</f>
        <v/>
      </c>
      <c r="D45" s="95">
        <f>C45*0.1818</f>
        <v/>
      </c>
      <c r="E45" s="95">
        <f>SUM(C45:D45)</f>
        <v/>
      </c>
      <c r="F45" s="95">
        <f>E45*0.1111</f>
        <v/>
      </c>
      <c r="G45" s="95">
        <f>E45*0.083</f>
        <v/>
      </c>
      <c r="H45" s="95">
        <f>SUM(E45:G45)*0.08</f>
        <v/>
      </c>
      <c r="I45" s="94">
        <f>AC17</f>
        <v/>
      </c>
      <c r="J45" s="94">
        <f>IF(I17=0,0,VLOOKUP(#REF!,$B$6:$I$26,8,0))</f>
        <v/>
      </c>
      <c r="K45" s="95">
        <f>IF(E45+I45&lt;=$K$60,(E45+I45)*J81-J45,IF(E45+I45&lt;=$K$61,(E45+I45)*J82-J45,IF(E45+I45&lt;=$K$62,(E45+I45)*L83-J45,513.0125)))</f>
        <v/>
      </c>
      <c r="L45" s="2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63">
        <f>SUM(M45:AB45)</f>
        <v/>
      </c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</row>
    <row r="46" ht="21" customFormat="1" customHeight="1" s="28">
      <c r="A46" s="93" t="inlineStr">
        <is>
          <t>FRANCA</t>
        </is>
      </c>
      <c r="B46" s="90" t="n"/>
      <c r="C46" s="95">
        <f>AC46</f>
        <v/>
      </c>
      <c r="D46" s="95">
        <f>C46*0.1818</f>
        <v/>
      </c>
      <c r="E46" s="95">
        <f>SUM(C46:D46)</f>
        <v/>
      </c>
      <c r="F46" s="95">
        <f>E46*0.1111</f>
        <v/>
      </c>
      <c r="G46" s="95">
        <f>E46*0.083</f>
        <v/>
      </c>
      <c r="H46" s="95">
        <f>SUM(E46:G46)*0.08</f>
        <v/>
      </c>
      <c r="I46" s="94">
        <f>AC18</f>
        <v/>
      </c>
      <c r="J46" s="94">
        <f>IF(I18=0,0,VLOOKUP(#REF!,$B$6:$I$26,8,0))</f>
        <v/>
      </c>
      <c r="K46" s="95">
        <f>IF(E46+I46&lt;=$K$60,(E46+I46)*J82-J46,IF(E46+I46&lt;=$K$61,(E46+I46)*J83-J46,IF(E46+I46&lt;=$K$62,(E46+I46)*L84-J46,513.0125)))</f>
        <v/>
      </c>
      <c r="L46" s="22" t="n"/>
      <c r="M46" s="90" t="n"/>
      <c r="N46" s="90" t="n"/>
      <c r="O46" s="90" t="n"/>
      <c r="P46" s="90" t="n"/>
      <c r="Q46" s="90" t="n"/>
      <c r="R46" s="90" t="n"/>
      <c r="S46" s="90" t="n"/>
      <c r="T46" s="90" t="n"/>
      <c r="U46" s="90" t="n"/>
      <c r="V46" s="90" t="n"/>
      <c r="W46" s="90" t="n"/>
      <c r="X46" s="90" t="n"/>
      <c r="Y46" s="90" t="n"/>
      <c r="Z46" s="90" t="n"/>
      <c r="AA46" s="90" t="n"/>
      <c r="AB46" s="32" t="n"/>
      <c r="AC46" s="63">
        <f>SUM(M46:AB46)</f>
        <v/>
      </c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</row>
    <row r="47" ht="21" customFormat="1" customHeight="1" s="28">
      <c r="A47" s="93" t="inlineStr">
        <is>
          <t>FRANCA</t>
        </is>
      </c>
      <c r="B47" s="84" t="n"/>
      <c r="C47" s="95" t="n">
        <v>0</v>
      </c>
      <c r="D47" s="95">
        <f>C47*0.1818</f>
        <v/>
      </c>
      <c r="E47" s="95">
        <f>SUM(C47:D47)</f>
        <v/>
      </c>
      <c r="F47" s="95">
        <f>E47*0.1111</f>
        <v/>
      </c>
      <c r="G47" s="95">
        <f>E47*0.083</f>
        <v/>
      </c>
      <c r="H47" s="95">
        <f>SUM(E47:G47)*0.08</f>
        <v/>
      </c>
      <c r="I47" s="94">
        <f>AC19</f>
        <v/>
      </c>
      <c r="J47" s="94">
        <f>IF(I19=0,0,VLOOKUP(#REF!,$B$6:$I$26,8,0))</f>
        <v/>
      </c>
      <c r="K47" s="95">
        <f>IF(E47+I47&lt;=$K$60,(E47+I47)*J83-J47,IF(E47+I47&lt;=$K$61,(E47+I47)*J84-J47,IF(E47+I47&lt;=$K$62,(E47+I47)*L85-J47,513.0125)))</f>
        <v/>
      </c>
      <c r="L47" s="2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63">
        <f>SUM(M47:AA47)</f>
        <v/>
      </c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</row>
    <row r="48" ht="21" customFormat="1" customHeight="1" s="28">
      <c r="A48" s="93" t="inlineStr">
        <is>
          <t>FRANCA</t>
        </is>
      </c>
      <c r="B48" s="89" t="n"/>
      <c r="C48" s="95">
        <f>AC48</f>
        <v/>
      </c>
      <c r="D48" s="95">
        <f>C48*0.1818</f>
        <v/>
      </c>
      <c r="E48" s="95">
        <f>SUM(C48:D48)</f>
        <v/>
      </c>
      <c r="F48" s="95">
        <f>E48*0.1111</f>
        <v/>
      </c>
      <c r="G48" s="95">
        <f>E48*0.083</f>
        <v/>
      </c>
      <c r="H48" s="95">
        <f>SUM(E48:G48)*0.08</f>
        <v/>
      </c>
      <c r="I48" s="94">
        <f>AC20</f>
        <v/>
      </c>
      <c r="J48" s="94">
        <f>IF(I20=0,0,VLOOKUP(#REF!,$B$6:$I$26,8,0))</f>
        <v/>
      </c>
      <c r="K48" s="95">
        <f>IF(E48+I48&lt;=$K$60,(E48+I48)*J84-J48,IF(E48+I48&lt;=$K$61,(E48+I48)*J85-J48,IF(E48+I48&lt;=$K$62,(E48+I48)*L86-J48,513.0125)))</f>
        <v/>
      </c>
      <c r="L48" s="2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97" t="n"/>
      <c r="AA48" s="97" t="n"/>
      <c r="AB48" s="97" t="n"/>
      <c r="AC48" s="63">
        <f>SUM(M48:AA48)</f>
        <v/>
      </c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</row>
    <row r="49" ht="21" customFormat="1" customHeight="1" s="28">
      <c r="A49" s="93" t="inlineStr">
        <is>
          <t>FRANCA</t>
        </is>
      </c>
      <c r="B49" s="86" t="n"/>
      <c r="C49" s="95">
        <f>AC49</f>
        <v/>
      </c>
      <c r="D49" s="95">
        <f>C49*0.1818</f>
        <v/>
      </c>
      <c r="E49" s="95">
        <f>SUM(C49:D49)</f>
        <v/>
      </c>
      <c r="F49" s="95">
        <f>E49*0.1111</f>
        <v/>
      </c>
      <c r="G49" s="95">
        <f>E49*0.083</f>
        <v/>
      </c>
      <c r="H49" s="95">
        <f>SUM(E49:G49)*0.08</f>
        <v/>
      </c>
      <c r="I49" s="94">
        <f>AC21</f>
        <v/>
      </c>
      <c r="J49" s="94">
        <f>IF(I21=0,0,VLOOKUP(B16,$B$6:$I$26,8,0))</f>
        <v/>
      </c>
      <c r="K49" s="95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63">
        <f>SUM(M49:AA49)</f>
        <v/>
      </c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</row>
    <row r="50" ht="21" customFormat="1" customHeight="1" s="28">
      <c r="A50" s="93" t="inlineStr">
        <is>
          <t>FRANCA</t>
        </is>
      </c>
      <c r="B50" s="86" t="n"/>
      <c r="C50" s="95">
        <f>AC50</f>
        <v/>
      </c>
      <c r="D50" s="95">
        <f>C50*0.1818</f>
        <v/>
      </c>
      <c r="E50" s="95">
        <f>SUM(C50:D50)</f>
        <v/>
      </c>
      <c r="F50" s="95">
        <f>E50*0.1111</f>
        <v/>
      </c>
      <c r="G50" s="95">
        <f>E50*0.083</f>
        <v/>
      </c>
      <c r="H50" s="95">
        <f>SUM(E50:G50)*0.08</f>
        <v/>
      </c>
      <c r="I50" s="94">
        <f>AC22</f>
        <v/>
      </c>
      <c r="J50" s="94">
        <f>IF(I22=0,0,VLOOKUP(#REF!,$B$6:$I$26,8,0))</f>
        <v/>
      </c>
      <c r="K50" s="95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63">
        <f>SUM(M50:AB50)</f>
        <v/>
      </c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</row>
    <row r="51" ht="21" customFormat="1" customHeight="1" s="28">
      <c r="A51" s="93" t="inlineStr">
        <is>
          <t>FRANCA</t>
        </is>
      </c>
      <c r="B51" s="90" t="n"/>
      <c r="C51" s="95">
        <f>AC51</f>
        <v/>
      </c>
      <c r="D51" s="95">
        <f>C51*0.1818</f>
        <v/>
      </c>
      <c r="E51" s="95">
        <f>SUM(C51:D51)</f>
        <v/>
      </c>
      <c r="F51" s="95">
        <f>E51*0.1111</f>
        <v/>
      </c>
      <c r="G51" s="95">
        <f>E51*0.083</f>
        <v/>
      </c>
      <c r="H51" s="95">
        <f>SUM(E51:G51)*0.08</f>
        <v/>
      </c>
      <c r="I51" s="94">
        <f>AC23</f>
        <v/>
      </c>
      <c r="J51" s="94">
        <f>IF(I23=0,0,VLOOKUP(#REF!,$B$6:$I$26,8,0))</f>
        <v/>
      </c>
      <c r="K51" s="95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63">
        <f>SUM(M51:AA51)</f>
        <v/>
      </c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</row>
    <row r="52" ht="21" customFormat="1" customHeight="1" s="28">
      <c r="A52" s="93" t="inlineStr">
        <is>
          <t>FRANCA</t>
        </is>
      </c>
      <c r="B52" s="90" t="n"/>
      <c r="C52" s="95">
        <f>AC52</f>
        <v/>
      </c>
      <c r="D52" s="95">
        <f>C52*0.1818</f>
        <v/>
      </c>
      <c r="E52" s="95">
        <f>SUM(C52:D52)</f>
        <v/>
      </c>
      <c r="F52" s="95">
        <f>E52*0.1111</f>
        <v/>
      </c>
      <c r="G52" s="95">
        <f>E52*0.083</f>
        <v/>
      </c>
      <c r="H52" s="95">
        <f>SUM(E52:G52)*0.08</f>
        <v/>
      </c>
      <c r="I52" s="94">
        <f>AC24</f>
        <v/>
      </c>
      <c r="J52" s="94">
        <f>IF(I24=0,0,VLOOKUP(#REF!,$B$6:$I$26,8,0))</f>
        <v/>
      </c>
      <c r="K52" s="95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3">
        <f>SUM(M52:AA52)</f>
        <v/>
      </c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</row>
    <row r="53" ht="21" customFormat="1" customHeight="1" s="28">
      <c r="A53" s="93" t="inlineStr">
        <is>
          <t>FRANCA</t>
        </is>
      </c>
      <c r="B53" s="90" t="n"/>
      <c r="C53" s="95">
        <f>AC53</f>
        <v/>
      </c>
      <c r="D53" s="95">
        <f>C53*0.1818</f>
        <v/>
      </c>
      <c r="E53" s="95">
        <f>SUM(C53:D53)</f>
        <v/>
      </c>
      <c r="F53" s="95">
        <f>E53*0.1111</f>
        <v/>
      </c>
      <c r="G53" s="95">
        <f>E53*0.083</f>
        <v/>
      </c>
      <c r="H53" s="95">
        <f>SUM(E53:G53)*0.08</f>
        <v/>
      </c>
      <c r="I53" s="94">
        <f>AC25</f>
        <v/>
      </c>
      <c r="J53" s="94">
        <f>IF(I25=0,0,VLOOKUP(#REF!,$B$6:$I$26,8,0))</f>
        <v/>
      </c>
      <c r="K53" s="95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3">
        <f>SUM(M53:AA53)</f>
        <v/>
      </c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</row>
    <row r="54" ht="21" customFormat="1" customHeight="1" s="28">
      <c r="A54" s="93" t="inlineStr">
        <is>
          <t>FRANCA</t>
        </is>
      </c>
      <c r="B54" s="90" t="n"/>
      <c r="C54" s="95">
        <f>AC54</f>
        <v/>
      </c>
      <c r="D54" s="95">
        <f>C54*0.1818</f>
        <v/>
      </c>
      <c r="E54" s="95">
        <f>SUM(C54:D54)</f>
        <v/>
      </c>
      <c r="F54" s="95">
        <f>E54*0.1111</f>
        <v/>
      </c>
      <c r="G54" s="95">
        <f>E54*0.083</f>
        <v/>
      </c>
      <c r="H54" s="95">
        <f>SUM(E54:G54)*0.08</f>
        <v/>
      </c>
      <c r="I54" s="94">
        <f>AC26</f>
        <v/>
      </c>
      <c r="J54" s="94">
        <f>IF(I26=0,0,VLOOKUP(#REF!,$B$6:$I$26,8,0))</f>
        <v/>
      </c>
      <c r="K54" s="95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3">
        <f>SUM(M54:AA54)</f>
        <v/>
      </c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</row>
    <row r="55" ht="21" customFormat="1" customHeight="1" s="28" thickBot="1">
      <c r="A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43" t="n"/>
      <c r="N55" s="43" t="n">
        <v>29</v>
      </c>
      <c r="O55" s="43">
        <f>COUNT(#REF!)</f>
        <v/>
      </c>
      <c r="P55" s="43">
        <f>COUNT(#REF!)</f>
        <v/>
      </c>
      <c r="Q55" s="43">
        <f>COUNT(#REF!)</f>
        <v/>
      </c>
      <c r="R55" s="43" t="n"/>
      <c r="S55" s="43">
        <f>COUNT(#REF!)</f>
        <v/>
      </c>
      <c r="T55" s="43">
        <f>COUNT(#REF!)</f>
        <v/>
      </c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23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</row>
    <row r="56" ht="21" customFormat="1" customHeight="1" s="28">
      <c r="L56" s="23" t="n"/>
      <c r="M56" s="44" t="inlineStr">
        <is>
          <t>TOTAL GERAL / BOLETIM ENSACADORES:</t>
        </is>
      </c>
      <c r="N56" s="45" t="n"/>
      <c r="O56" s="45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7" t="inlineStr">
        <is>
          <t>TOTAL:</t>
        </is>
      </c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</row>
    <row r="57" ht="22.8" customFormat="1" customHeight="1" s="28">
      <c r="L57" s="23" t="n"/>
      <c r="M57" s="48">
        <f>SUM(M36:M54)</f>
        <v/>
      </c>
      <c r="N57" s="48">
        <f>SUM(N36:N54)</f>
        <v/>
      </c>
      <c r="O57" s="48">
        <f>SUM(O36:O54)</f>
        <v/>
      </c>
      <c r="P57" s="48">
        <f>SUM(P36:P54)</f>
        <v/>
      </c>
      <c r="Q57" s="48">
        <f>SUM(Q36:Q54)</f>
        <v/>
      </c>
      <c r="R57" s="48" t="n"/>
      <c r="S57" s="48">
        <f>SUM(S36:S54)</f>
        <v/>
      </c>
      <c r="T57" s="48">
        <f>SUM(T36:T54)</f>
        <v/>
      </c>
      <c r="U57" s="48">
        <f>SUM(U36:U54)</f>
        <v/>
      </c>
      <c r="V57" s="48">
        <f>SUM(V36:V54)</f>
        <v/>
      </c>
      <c r="W57" s="48">
        <f>SUM(W36:W54)</f>
        <v/>
      </c>
      <c r="X57" s="48">
        <f>SUM(X36:X54)</f>
        <v/>
      </c>
      <c r="Y57" s="48">
        <f>SUM(Y36:Y54)</f>
        <v/>
      </c>
      <c r="Z57" s="48">
        <f>SUM(Z36:Z54)</f>
        <v/>
      </c>
      <c r="AA57" s="48">
        <f>SUM(AA36:AA54)</f>
        <v/>
      </c>
      <c r="AB57" s="48">
        <f>SUM(AB36:AB54)</f>
        <v/>
      </c>
      <c r="AC57" s="49" t="n"/>
      <c r="AD57" s="50">
        <f>SUM(M57:AB57)</f>
        <v/>
      </c>
      <c r="AE57" s="27" t="n"/>
      <c r="AF57" s="71" t="inlineStr">
        <is>
          <t>TOTAL FATURA</t>
        </is>
      </c>
      <c r="AG57" s="71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</row>
    <row r="58" ht="22.8" customFormat="1" customHeight="1" s="28">
      <c r="L58" s="23" t="n"/>
      <c r="AE58" s="27" t="n"/>
      <c r="AF58" s="161">
        <f>SUM(AD29,AD57)</f>
        <v/>
      </c>
      <c r="AG58" s="162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</row>
    <row r="59" ht="21" customFormat="1" customHeight="1" s="28" thickBot="1">
      <c r="L59" s="23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</row>
    <row r="60" ht="21.6" customFormat="1" customHeight="1" s="28" thickBot="1">
      <c r="A60" s="75" t="inlineStr">
        <is>
          <t>MÉDIA DIARIA CHAPAS</t>
        </is>
      </c>
      <c r="B60" s="156" t="n"/>
      <c r="C60" s="52" t="n">
        <v>11</v>
      </c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</row>
    <row r="61" ht="20.4" customFormat="1" customHeight="1" s="28"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</row>
    <row r="62" ht="21" customFormat="1" customHeight="1" s="28">
      <c r="A62" s="80" t="n"/>
      <c r="B62" s="23" t="n"/>
      <c r="C62" s="76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</row>
    <row r="63" ht="25.8" customFormat="1" customHeight="1" s="28">
      <c r="A63" s="81" t="n"/>
      <c r="B63" s="82" t="n"/>
      <c r="C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</row>
    <row r="64" ht="21" customFormat="1" customHeight="1" s="28">
      <c r="A64" s="34" t="n"/>
      <c r="B64" s="34" t="n"/>
      <c r="C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</row>
    <row r="65" ht="21" customFormat="1" customHeight="1" s="28">
      <c r="A65" s="34" t="n"/>
      <c r="B65" s="34" t="n"/>
      <c r="C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</row>
    <row r="66" ht="21" customFormat="1" customHeight="1" s="28">
      <c r="A66" s="34" t="n"/>
      <c r="B66" s="34" t="n"/>
      <c r="C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</row>
    <row r="67" ht="21" customFormat="1" customHeight="1" s="28">
      <c r="A67" s="34" t="n"/>
      <c r="B67" s="34" t="n"/>
      <c r="C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</row>
    <row r="68" ht="21" customFormat="1" customHeight="1" s="28">
      <c r="A68" s="34" t="n"/>
      <c r="B68" s="34" t="n"/>
      <c r="C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</row>
    <row r="69" ht="21" customFormat="1" customHeight="1" s="28">
      <c r="A69" s="34" t="n"/>
      <c r="B69" s="34" t="n"/>
      <c r="C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  <c r="AD69" s="34" t="n"/>
    </row>
    <row r="70" ht="21" customFormat="1" customHeight="1" s="28">
      <c r="A70" s="34" t="n"/>
      <c r="B70" s="34" t="n"/>
      <c r="C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</row>
    <row r="71" ht="21" customFormat="1" customHeight="1" s="28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</row>
    <row r="72" customFormat="1" s="28"/>
    <row r="73" customFormat="1" s="28"/>
    <row r="74" customFormat="1" s="28"/>
    <row r="75" customFormat="1" s="28"/>
    <row r="76" customFormat="1" s="28"/>
    <row r="77" customFormat="1" s="28"/>
    <row r="78" customFormat="1" s="28"/>
    <row r="79" customFormat="1" s="28"/>
    <row r="80" customFormat="1" s="28"/>
    <row r="81" customFormat="1" s="28"/>
    <row r="82" customFormat="1" s="28"/>
    <row r="83" customFormat="1" s="28"/>
    <row r="84" customFormat="1" s="28"/>
    <row r="85" customFormat="1" s="28"/>
    <row r="86" customFormat="1" s="28"/>
    <row r="87" customFormat="1" s="28"/>
    <row r="88" customFormat="1" s="28"/>
    <row r="89" customFormat="1" s="28"/>
    <row r="90" customFormat="1" s="28"/>
    <row r="91" customFormat="1" s="28"/>
    <row r="92" customFormat="1" s="28"/>
    <row r="93" customFormat="1" s="28"/>
    <row r="94" customFormat="1" s="28"/>
    <row r="95" customFormat="1" s="28"/>
    <row r="96" customFormat="1" s="28"/>
    <row r="97" customFormat="1" s="28"/>
    <row r="98" customFormat="1" s="28"/>
    <row r="99" customFormat="1" s="28"/>
    <row r="100" customFormat="1" s="28"/>
    <row r="101" customFormat="1" s="28"/>
    <row r="102" customFormat="1" s="28"/>
    <row r="103" customFormat="1" s="28"/>
    <row r="104" customFormat="1" s="28"/>
    <row r="105" customFormat="1" s="28"/>
    <row r="106" customFormat="1" s="28"/>
    <row r="107" customFormat="1" s="28"/>
    <row r="108" customFormat="1" s="28"/>
    <row r="109" customFormat="1" s="28"/>
    <row r="110" customFormat="1" s="28"/>
    <row r="111" customFormat="1" s="28"/>
    <row r="112" customFormat="1" s="28"/>
    <row r="113" customFormat="1" s="28"/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AD114" s="28" t="n"/>
      <c r="AE114" s="28" t="n"/>
      <c r="AF114" s="28" t="n"/>
      <c r="AG114" s="28" t="n"/>
      <c r="AH114" s="28" t="n"/>
    </row>
  </sheetData>
  <mergeCells count="9">
    <mergeCell ref="A34:K34"/>
    <mergeCell ref="M34:AD34"/>
    <mergeCell ref="M4:AC4"/>
    <mergeCell ref="A60:B60"/>
    <mergeCell ref="A2:H2"/>
    <mergeCell ref="AF58:AG58"/>
    <mergeCell ref="A3:I3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4"/>
  <sheetViews>
    <sheetView topLeftCell="A31" zoomScale="40" zoomScaleNormal="40" workbookViewId="0">
      <selection activeCell="J30" sqref="J30"/>
    </sheetView>
  </sheetViews>
  <sheetFormatPr baseColWidth="8" defaultColWidth="22.77734375" defaultRowHeight="14.4"/>
  <sheetData>
    <row r="1" ht="30" customHeight="1">
      <c r="A1" s="1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3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</row>
    <row r="2" ht="30" customHeight="1" thickBot="1">
      <c r="A2" s="5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7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</row>
    <row r="4" ht="21" customHeigh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" t="n"/>
      <c r="K4" s="11" t="n"/>
      <c r="L4" s="11" t="n"/>
      <c r="M4" s="102" t="inlineStr">
        <is>
          <t>total</t>
        </is>
      </c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63" t="n"/>
      <c r="AC4" s="162" t="n"/>
      <c r="AD4" s="18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 ht="21" customFormat="1" customHeight="1" s="28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23" t="n"/>
      <c r="L5" s="23" t="n"/>
      <c r="M5" s="103" t="n">
        <v>46143</v>
      </c>
      <c r="N5" s="103" t="n">
        <v>46144</v>
      </c>
      <c r="O5" s="103" t="n">
        <v>46145</v>
      </c>
      <c r="P5" s="103" t="n">
        <v>46146</v>
      </c>
      <c r="Q5" s="103" t="n">
        <v>46147</v>
      </c>
      <c r="R5" s="103" t="n">
        <v>46148</v>
      </c>
      <c r="S5" s="103" t="n">
        <v>46149</v>
      </c>
      <c r="T5" s="103" t="n">
        <v>46150</v>
      </c>
      <c r="U5" s="103" t="n">
        <v>46151</v>
      </c>
      <c r="V5" s="103" t="n">
        <v>46152</v>
      </c>
      <c r="W5" s="103" t="n">
        <v>46153</v>
      </c>
      <c r="X5" s="103" t="n">
        <v>46154</v>
      </c>
      <c r="Y5" s="103" t="n">
        <v>46155</v>
      </c>
      <c r="Z5" s="103" t="n">
        <v>46156</v>
      </c>
      <c r="AA5" s="103" t="n">
        <v>46157</v>
      </c>
      <c r="AB5" s="103" t="n"/>
      <c r="AC5" s="83" t="inlineStr">
        <is>
          <t>TOTAL</t>
        </is>
      </c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</row>
    <row r="6" ht="21" customFormat="1" customHeight="1" s="28">
      <c r="A6" s="83" t="inlineStr">
        <is>
          <t>FRANCA</t>
        </is>
      </c>
      <c r="B6" s="84" t="inlineStr">
        <is>
          <t>CHAPA_06</t>
        </is>
      </c>
      <c r="C6" s="85">
        <f>AC6</f>
        <v/>
      </c>
      <c r="D6" s="85">
        <f>C6*0.1818</f>
        <v/>
      </c>
      <c r="E6" s="85">
        <f>SUM(C6:D6)</f>
        <v/>
      </c>
      <c r="F6" s="85">
        <f>E6*0.1111</f>
        <v/>
      </c>
      <c r="G6" s="85">
        <f>E6*0.083</f>
        <v/>
      </c>
      <c r="H6" s="85">
        <f>SUM(E6:G6)*0.08</f>
        <v/>
      </c>
      <c r="I6" s="85">
        <f>IF(E6&lt;=$F$67,E6*$G$67,IF(E6&lt;=$F$68,E6*$G$68,IF(E6&lt;=$F$69,E6*$G$69,513.0125)))</f>
        <v/>
      </c>
      <c r="J6" s="22" t="n"/>
      <c r="K6" s="23" t="n"/>
      <c r="L6" s="23" t="n"/>
      <c r="M6" s="32" t="n">
        <v>0</v>
      </c>
      <c r="N6" s="32" t="n">
        <v>0</v>
      </c>
      <c r="O6" s="32" t="n">
        <v>0</v>
      </c>
      <c r="P6" s="32" t="n">
        <v>112.76</v>
      </c>
      <c r="Q6" s="32" t="n">
        <v>112.76</v>
      </c>
      <c r="R6" s="32" t="n">
        <v>0</v>
      </c>
      <c r="S6" s="32" t="n">
        <v>0</v>
      </c>
      <c r="T6" s="32" t="n">
        <v>112.76</v>
      </c>
      <c r="U6" s="32" t="n">
        <v>51.25</v>
      </c>
      <c r="V6" s="32" t="n">
        <v>0</v>
      </c>
      <c r="W6" s="32" t="n">
        <v>112.76</v>
      </c>
      <c r="X6" s="32" t="n">
        <v>112.76</v>
      </c>
      <c r="Y6" s="32" t="n">
        <v>0</v>
      </c>
      <c r="Z6" s="32" t="n">
        <v>112.76</v>
      </c>
      <c r="AA6" s="32" t="n">
        <v>112.76</v>
      </c>
      <c r="AB6" s="32" t="n"/>
      <c r="AC6" s="33">
        <f>SUM(M6:AB6)</f>
        <v/>
      </c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</row>
    <row r="7" ht="21" customFormat="1" customHeight="1" s="28">
      <c r="A7" s="83" t="inlineStr">
        <is>
          <t>FRANCA</t>
        </is>
      </c>
      <c r="B7" s="84" t="inlineStr">
        <is>
          <t>CHAPA_14</t>
        </is>
      </c>
      <c r="C7" s="85">
        <f>AC7</f>
        <v/>
      </c>
      <c r="D7" s="85">
        <f>C7*0.1818</f>
        <v/>
      </c>
      <c r="E7" s="85">
        <f>SUM(C7:D7)</f>
        <v/>
      </c>
      <c r="F7" s="85">
        <f>E7*0.1111</f>
        <v/>
      </c>
      <c r="G7" s="85">
        <f>E7*0.083</f>
        <v/>
      </c>
      <c r="H7" s="85">
        <f>SUM(E7:G7)*0.08</f>
        <v/>
      </c>
      <c r="I7" s="85">
        <f>IF(E7&lt;=$F$67,E7*$G$67,IF(E7&lt;=$F$68,E7*$G$68,IF(E7&lt;=$F$69,E7*$G$69,513.0125)))</f>
        <v/>
      </c>
      <c r="J7" s="22" t="n"/>
      <c r="K7" s="34" t="n"/>
      <c r="L7" s="23" t="n"/>
      <c r="M7" s="32" t="n">
        <v>0</v>
      </c>
      <c r="N7" s="32" t="n">
        <v>0</v>
      </c>
      <c r="O7" s="32" t="n">
        <v>0</v>
      </c>
      <c r="P7" s="32" t="n">
        <v>112.76</v>
      </c>
      <c r="Q7" s="32" t="n">
        <v>112.76</v>
      </c>
      <c r="R7" s="32" t="n">
        <v>117.65</v>
      </c>
      <c r="S7" s="32" t="n">
        <v>112.76</v>
      </c>
      <c r="T7" s="32" t="n">
        <v>112.76</v>
      </c>
      <c r="U7" s="32" t="n">
        <v>51.25</v>
      </c>
      <c r="V7" s="32" t="n">
        <v>0</v>
      </c>
      <c r="W7" s="32" t="n">
        <v>141.59</v>
      </c>
      <c r="X7" s="32" t="n">
        <v>112.76</v>
      </c>
      <c r="Y7" s="32" t="n">
        <v>131.98</v>
      </c>
      <c r="Z7" s="32" t="n">
        <v>112.76</v>
      </c>
      <c r="AA7" s="32" t="n">
        <v>112.76</v>
      </c>
      <c r="AB7" s="32" t="n"/>
      <c r="AC7" s="33">
        <f>SUM(M7:AB7)</f>
        <v/>
      </c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</row>
    <row r="8" ht="21" customFormat="1" customHeight="1" s="28">
      <c r="A8" s="83" t="inlineStr">
        <is>
          <t>FRANCA</t>
        </is>
      </c>
      <c r="B8" s="86" t="inlineStr">
        <is>
          <t>CHAPA_15</t>
        </is>
      </c>
      <c r="C8" s="85">
        <f>AC8</f>
        <v/>
      </c>
      <c r="D8" s="85">
        <f>C8*0.1818</f>
        <v/>
      </c>
      <c r="E8" s="85">
        <f>SUM(C8:D8)</f>
        <v/>
      </c>
      <c r="F8" s="85">
        <f>E8*0.1111</f>
        <v/>
      </c>
      <c r="G8" s="85">
        <f>E8*0.083</f>
        <v/>
      </c>
      <c r="H8" s="85">
        <f>SUM(E8:G8)*0.08</f>
        <v/>
      </c>
      <c r="I8" s="85">
        <f>IF(E8&lt;=$F$67,E8*$G$67,IF(E8&lt;=$F$68,E8*$G$68,IF(E8&lt;=$F$69,E8*$G$69,513.0125)))</f>
        <v/>
      </c>
      <c r="J8" s="22" t="n"/>
      <c r="K8" s="23" t="n"/>
      <c r="L8" s="23" t="n"/>
      <c r="M8" s="32" t="n">
        <v>0</v>
      </c>
      <c r="N8" s="32" t="n">
        <v>51.25</v>
      </c>
      <c r="O8" s="32" t="n">
        <v>0</v>
      </c>
      <c r="P8" s="32" t="n">
        <v>19.22</v>
      </c>
      <c r="Q8" s="32" t="n">
        <v>0</v>
      </c>
      <c r="R8" s="32" t="n">
        <v>83.28</v>
      </c>
      <c r="S8" s="32" t="n">
        <v>89.69</v>
      </c>
      <c r="T8" s="32" t="n">
        <v>96.09999999999999</v>
      </c>
      <c r="U8" s="32" t="n">
        <v>51.25</v>
      </c>
      <c r="V8" s="32" t="n">
        <v>0</v>
      </c>
      <c r="W8" s="32" t="n">
        <v>112.76</v>
      </c>
      <c r="X8" s="32" t="n">
        <v>112.76</v>
      </c>
      <c r="Y8" s="32" t="n">
        <v>96.09999999999999</v>
      </c>
      <c r="Z8" s="32" t="n">
        <v>102.51</v>
      </c>
      <c r="AA8" s="32" t="n">
        <v>95.67</v>
      </c>
      <c r="AB8" s="32" t="n"/>
      <c r="AC8" s="33">
        <f>SUM(M8:AB8)</f>
        <v/>
      </c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</row>
    <row r="9" ht="21" customFormat="1" customHeight="1" s="28">
      <c r="A9" s="83" t="inlineStr">
        <is>
          <t>FRANCA</t>
        </is>
      </c>
      <c r="B9" s="87" t="inlineStr">
        <is>
          <t>CHAPA_17</t>
        </is>
      </c>
      <c r="C9" s="85">
        <f>AC9</f>
        <v/>
      </c>
      <c r="D9" s="85">
        <f>C9*0.1818</f>
        <v/>
      </c>
      <c r="E9" s="85">
        <f>SUM(C9:D9)</f>
        <v/>
      </c>
      <c r="F9" s="85">
        <f>E9*0.1111</f>
        <v/>
      </c>
      <c r="G9" s="85">
        <f>E9*0.083</f>
        <v/>
      </c>
      <c r="H9" s="85">
        <f>SUM(E9:G9)*0.08</f>
        <v/>
      </c>
      <c r="I9" s="85">
        <f>IF(E9&lt;=$F$67,E9*$G$67,IF(E9&lt;=$F$68,E9*$G$68,IF(E9&lt;=$F$69,E9*$G$69,513.0125)))</f>
        <v/>
      </c>
      <c r="J9" s="22" t="n"/>
      <c r="K9" s="23" t="n"/>
      <c r="L9" s="23" t="n"/>
      <c r="M9" s="32" t="n">
        <v>0</v>
      </c>
      <c r="N9" s="32" t="n">
        <v>0</v>
      </c>
      <c r="O9" s="32" t="n">
        <v>0</v>
      </c>
      <c r="P9" s="32" t="n">
        <v>131.98</v>
      </c>
      <c r="Q9" s="32" t="n">
        <v>112.76</v>
      </c>
      <c r="R9" s="32" t="n">
        <v>117.65</v>
      </c>
      <c r="S9" s="32" t="n">
        <v>122.37</v>
      </c>
      <c r="T9" s="32" t="n">
        <v>70.47</v>
      </c>
      <c r="U9" s="32" t="n">
        <v>51.26</v>
      </c>
      <c r="V9" s="32" t="n">
        <v>0</v>
      </c>
      <c r="W9" s="32" t="n">
        <v>0</v>
      </c>
      <c r="X9" s="32" t="n">
        <v>112.76</v>
      </c>
      <c r="Y9" s="32" t="n">
        <v>112.76</v>
      </c>
      <c r="Z9" s="32" t="n">
        <v>102.51</v>
      </c>
      <c r="AA9" s="32" t="n">
        <v>112.76</v>
      </c>
      <c r="AB9" s="32" t="n"/>
      <c r="AC9" s="33">
        <f>SUM(M9:AB9)</f>
        <v/>
      </c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</row>
    <row r="10" ht="21" customFormat="1" customHeight="1" s="28">
      <c r="A10" s="83" t="inlineStr">
        <is>
          <t>FRANCA</t>
        </is>
      </c>
      <c r="B10" s="89" t="inlineStr">
        <is>
          <t>CHAPA_26</t>
        </is>
      </c>
      <c r="C10" s="85">
        <f>AC10</f>
        <v/>
      </c>
      <c r="D10" s="85">
        <f>C10*0.1818</f>
        <v/>
      </c>
      <c r="E10" s="85">
        <f>SUM(C10:D10)</f>
        <v/>
      </c>
      <c r="F10" s="85">
        <f>E10*0.1111</f>
        <v/>
      </c>
      <c r="G10" s="85">
        <f>E10*0.083</f>
        <v/>
      </c>
      <c r="H10" s="85">
        <f>SUM(E10:G10)*0.08</f>
        <v/>
      </c>
      <c r="I10" s="85">
        <f>IF(E10&lt;=$F$67,E10*$G$67,IF(E10&lt;=$F$68,E10*$G$68,IF(E10&lt;=$F$69,E10*$G$69,513.0125)))</f>
        <v/>
      </c>
      <c r="J10" s="22" t="n"/>
      <c r="K10" s="23" t="n"/>
      <c r="L10" s="23" t="n"/>
      <c r="M10" s="32" t="n">
        <v>0</v>
      </c>
      <c r="N10" s="32" t="n">
        <v>51.25</v>
      </c>
      <c r="O10" s="32" t="n">
        <v>0</v>
      </c>
      <c r="P10" s="32" t="n">
        <v>112.76</v>
      </c>
      <c r="Q10" s="32" t="n">
        <v>112.76</v>
      </c>
      <c r="R10" s="32" t="n">
        <v>117.65</v>
      </c>
      <c r="S10" s="32" t="n">
        <v>112.76</v>
      </c>
      <c r="T10" s="32" t="n">
        <v>112.76</v>
      </c>
      <c r="U10" s="32" t="n">
        <v>0</v>
      </c>
      <c r="V10" s="32" t="n">
        <v>0</v>
      </c>
      <c r="W10" s="32" t="n">
        <v>112.76</v>
      </c>
      <c r="X10" s="32" t="n">
        <v>112.76</v>
      </c>
      <c r="Y10" s="32" t="n">
        <v>112.76</v>
      </c>
      <c r="Z10" s="32" t="n">
        <v>112.76</v>
      </c>
      <c r="AA10" s="32" t="n">
        <v>112.76</v>
      </c>
      <c r="AB10" s="88" t="n"/>
      <c r="AC10" s="33">
        <f>SUM(M10:AB10)</f>
        <v/>
      </c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</row>
    <row r="11" ht="21" customFormat="1" customHeight="1" s="28">
      <c r="A11" s="83" t="inlineStr">
        <is>
          <t>FRANCA</t>
        </is>
      </c>
      <c r="B11" s="86" t="inlineStr">
        <is>
          <t>CHAPA_38</t>
        </is>
      </c>
      <c r="C11" s="85">
        <f>AC11</f>
        <v/>
      </c>
      <c r="D11" s="85">
        <f>C11*0.1818</f>
        <v/>
      </c>
      <c r="E11" s="85">
        <f>SUM(C11:D11)</f>
        <v/>
      </c>
      <c r="F11" s="85">
        <f>E11*0.1111</f>
        <v/>
      </c>
      <c r="G11" s="85">
        <f>E11*0.083</f>
        <v/>
      </c>
      <c r="H11" s="85">
        <f>SUM(E11:G11)*0.08</f>
        <v/>
      </c>
      <c r="I11" s="85">
        <f>IF(E11&lt;=$F$67,E11*$G$67,IF(E11&lt;=$F$68,E11*$G$68,IF(E11&lt;=$F$69,E11*$G$69,513.0125)))</f>
        <v/>
      </c>
      <c r="J11" s="22" t="n"/>
      <c r="K11" s="23" t="n"/>
      <c r="L11" s="23" t="n"/>
      <c r="M11" s="32" t="n">
        <v>0</v>
      </c>
      <c r="N11" s="32" t="n">
        <v>51.26</v>
      </c>
      <c r="O11" s="32" t="n">
        <v>0</v>
      </c>
      <c r="P11" s="32" t="n">
        <v>131.98</v>
      </c>
      <c r="Q11" s="32" t="n">
        <v>112.76</v>
      </c>
      <c r="R11" s="32" t="n">
        <v>117.65</v>
      </c>
      <c r="S11" s="32" t="n">
        <v>112.76</v>
      </c>
      <c r="T11" s="32" t="n">
        <v>151.2</v>
      </c>
      <c r="U11" s="32" t="n">
        <v>0</v>
      </c>
      <c r="V11" s="32" t="n">
        <v>0</v>
      </c>
      <c r="W11" s="32" t="n">
        <v>112.76</v>
      </c>
      <c r="X11" s="32" t="n">
        <v>112.76</v>
      </c>
      <c r="Y11" s="32" t="n">
        <v>112.76</v>
      </c>
      <c r="Z11" s="32" t="n">
        <v>112.76</v>
      </c>
      <c r="AA11" s="32" t="n">
        <v>112.76</v>
      </c>
      <c r="AB11" s="32" t="n"/>
      <c r="AC11" s="33">
        <f>SUM(M11:AB11)</f>
        <v/>
      </c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</row>
    <row r="12" ht="21" customFormat="1" customHeight="1" s="28">
      <c r="A12" s="83" t="inlineStr">
        <is>
          <t>FRANCA</t>
        </is>
      </c>
      <c r="B12" s="86" t="inlineStr">
        <is>
          <t>CHAPA_41</t>
        </is>
      </c>
      <c r="C12" s="85">
        <f>AC12</f>
        <v/>
      </c>
      <c r="D12" s="85">
        <f>C12*0.1818</f>
        <v/>
      </c>
      <c r="E12" s="85">
        <f>SUM(C12:D12)</f>
        <v/>
      </c>
      <c r="F12" s="85">
        <f>E12*0.1111</f>
        <v/>
      </c>
      <c r="G12" s="85">
        <f>E12*0.083</f>
        <v/>
      </c>
      <c r="H12" s="85">
        <f>SUM(E12:G12)*0.08</f>
        <v/>
      </c>
      <c r="I12" s="85">
        <f>IF(E12&lt;=$F$67,E12*$G$67,IF(E12&lt;=$F$68,E12*$G$68,IF(E12&lt;=$F$69,E12*$G$69,513.0125)))</f>
        <v/>
      </c>
      <c r="J12" s="22" t="n"/>
      <c r="K12" s="23" t="n"/>
      <c r="L12" s="23" t="n"/>
      <c r="M12" s="32" t="n">
        <v>0</v>
      </c>
      <c r="N12" s="32" t="n">
        <v>51.26</v>
      </c>
      <c r="O12" s="32" t="n">
        <v>0</v>
      </c>
      <c r="P12" s="32" t="n">
        <v>112.76</v>
      </c>
      <c r="Q12" s="32" t="n">
        <v>112.76</v>
      </c>
      <c r="R12" s="32" t="n">
        <v>117.65</v>
      </c>
      <c r="S12" s="32" t="n">
        <v>112.76</v>
      </c>
      <c r="T12" s="32" t="n">
        <v>112.76</v>
      </c>
      <c r="U12" s="32" t="n">
        <v>51.26</v>
      </c>
      <c r="V12" s="32" t="n">
        <v>0</v>
      </c>
      <c r="W12" s="32" t="n">
        <v>112.76</v>
      </c>
      <c r="X12" s="32" t="n">
        <v>112.76</v>
      </c>
      <c r="Y12" s="32" t="n">
        <v>112.76</v>
      </c>
      <c r="Z12" s="32" t="n">
        <v>112.76</v>
      </c>
      <c r="AA12" s="32" t="n">
        <v>112.76</v>
      </c>
      <c r="AB12" s="32" t="n"/>
      <c r="AC12" s="33">
        <f>SUM(M12:AB12)</f>
        <v/>
      </c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</row>
    <row r="13" ht="21" customFormat="1" customHeight="1" s="28">
      <c r="A13" s="83" t="inlineStr">
        <is>
          <t>FRANCA</t>
        </is>
      </c>
      <c r="B13" s="86" t="inlineStr">
        <is>
          <t>CHAPA_43</t>
        </is>
      </c>
      <c r="C13" s="85">
        <f>AC13</f>
        <v/>
      </c>
      <c r="D13" s="85">
        <f>C13*0.1818</f>
        <v/>
      </c>
      <c r="E13" s="85">
        <f>SUM(C13:D13)</f>
        <v/>
      </c>
      <c r="F13" s="85">
        <f>E13*0.1111</f>
        <v/>
      </c>
      <c r="G13" s="85">
        <f>E13*0.083</f>
        <v/>
      </c>
      <c r="H13" s="85">
        <f>SUM(E13:G13)*0.08</f>
        <v/>
      </c>
      <c r="I13" s="85">
        <f>IF(E13&lt;=$F$67,E13*$G$67,IF(E13&lt;=$F$68,E13*$G$68,IF(E13&lt;=$F$69,E13*$G$69,513.0125)))</f>
        <v/>
      </c>
      <c r="J13" s="22" t="n"/>
      <c r="K13" s="23" t="n"/>
      <c r="L13" s="23" t="n"/>
      <c r="M13" s="32" t="n">
        <v>0</v>
      </c>
      <c r="N13" s="32" t="n">
        <v>0</v>
      </c>
      <c r="O13" s="32" t="n">
        <v>0</v>
      </c>
      <c r="P13" s="32" t="n">
        <v>112.76</v>
      </c>
      <c r="Q13" s="32" t="n">
        <v>112.76</v>
      </c>
      <c r="R13" s="32" t="n">
        <v>117.64</v>
      </c>
      <c r="S13" s="32" t="n">
        <v>112.76</v>
      </c>
      <c r="T13" s="32" t="n">
        <v>112.76</v>
      </c>
      <c r="U13" s="32" t="n">
        <v>51.26</v>
      </c>
      <c r="V13" s="32" t="n">
        <v>0</v>
      </c>
      <c r="W13" s="32" t="n">
        <v>112.76</v>
      </c>
      <c r="X13" s="32" t="n">
        <v>112.76</v>
      </c>
      <c r="Y13" s="32" t="n">
        <v>112.76</v>
      </c>
      <c r="Z13" s="32" t="n">
        <v>112.76</v>
      </c>
      <c r="AA13" s="32" t="n">
        <v>51.25</v>
      </c>
      <c r="AB13" s="32" t="n"/>
      <c r="AC13" s="33">
        <f>SUM(M13:AB13)</f>
        <v/>
      </c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</row>
    <row r="14" ht="21" customFormat="1" customHeight="1" s="28">
      <c r="A14" s="83" t="inlineStr">
        <is>
          <t>FRANCA</t>
        </is>
      </c>
      <c r="B14" s="84" t="inlineStr">
        <is>
          <t>CHAPA_46</t>
        </is>
      </c>
      <c r="C14" s="85">
        <f>AC14</f>
        <v/>
      </c>
      <c r="D14" s="85">
        <f>C14*0.1818</f>
        <v/>
      </c>
      <c r="E14" s="85">
        <f>SUM(C14:D14)</f>
        <v/>
      </c>
      <c r="F14" s="85">
        <f>E14*0.1111</f>
        <v/>
      </c>
      <c r="G14" s="85">
        <f>E14*0.083</f>
        <v/>
      </c>
      <c r="H14" s="85">
        <f>SUM(E14:G14)*0.08</f>
        <v/>
      </c>
      <c r="I14" s="85">
        <f>IF(E14&lt;=$F$67,E14*$G$67,IF(E14&lt;=$F$68,E14*$G$68,IF(E14&lt;=$F$69,E14*$G$69,513.0125)))</f>
        <v/>
      </c>
      <c r="J14" s="22" t="n"/>
      <c r="K14" s="23" t="n"/>
      <c r="L14" s="23" t="n"/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112.76</v>
      </c>
      <c r="R14" s="32" t="n">
        <v>117.64</v>
      </c>
      <c r="S14" s="32" t="n">
        <v>112.76</v>
      </c>
      <c r="T14" s="32" t="n">
        <v>112.76</v>
      </c>
      <c r="U14" s="32" t="n">
        <v>0</v>
      </c>
      <c r="V14" s="32" t="n">
        <v>0</v>
      </c>
      <c r="W14" s="32" t="n">
        <v>112.76</v>
      </c>
      <c r="X14" s="32" t="n">
        <v>51.26</v>
      </c>
      <c r="Y14" s="32" t="n">
        <v>0</v>
      </c>
      <c r="Z14" s="32" t="n">
        <v>112.76</v>
      </c>
      <c r="AA14" s="32" t="n">
        <v>112.76</v>
      </c>
      <c r="AB14" s="32" t="n"/>
      <c r="AC14" s="33">
        <f>SUM(M14:AB14)</f>
        <v/>
      </c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</row>
    <row r="15" ht="21" customFormat="1" customHeight="1" s="28">
      <c r="A15" s="83" t="inlineStr">
        <is>
          <t>FRANCA</t>
        </is>
      </c>
      <c r="B15" s="86" t="n"/>
      <c r="C15" s="85">
        <f>AC15</f>
        <v/>
      </c>
      <c r="D15" s="85">
        <f>C15*0.1818</f>
        <v/>
      </c>
      <c r="E15" s="85">
        <f>SUM(C15:D15)</f>
        <v/>
      </c>
      <c r="F15" s="85">
        <f>E15*0.1111</f>
        <v/>
      </c>
      <c r="G15" s="85">
        <f>E15*0.083</f>
        <v/>
      </c>
      <c r="H15" s="85">
        <f>SUM(E15:G15)*0.08</f>
        <v/>
      </c>
      <c r="I15" s="85">
        <f>IF(E15&lt;=$F$67,E15*$G$67,IF(E15&lt;=$F$68,E15*$G$68,IF(E15&lt;=$F$69,E15*$G$69,513.0125)))</f>
        <v/>
      </c>
      <c r="J15" s="22" t="n"/>
      <c r="K15" s="23" t="n"/>
      <c r="L15" s="23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3">
        <f>SUM(M15:AB15)</f>
        <v/>
      </c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</row>
    <row r="16" ht="21" customFormat="1" customHeight="1" s="28">
      <c r="A16" s="83" t="inlineStr">
        <is>
          <t>FRANCA</t>
        </is>
      </c>
      <c r="B16" s="84" t="n"/>
      <c r="C16" s="85">
        <f>AC16</f>
        <v/>
      </c>
      <c r="D16" s="85">
        <f>C16*0.1818</f>
        <v/>
      </c>
      <c r="E16" s="85">
        <f>SUM(C16:D16)</f>
        <v/>
      </c>
      <c r="F16" s="85">
        <f>E16*0.1111</f>
        <v/>
      </c>
      <c r="G16" s="85">
        <f>E16*0.083</f>
        <v/>
      </c>
      <c r="H16" s="85">
        <f>SUM(E16:G16)*0.08</f>
        <v/>
      </c>
      <c r="I16" s="85">
        <f>IF(E16&lt;=$F$67,E16*$G$67,IF(E16&lt;=$F$68,E16*$G$68,IF(E16&lt;=$F$69,E16*$G$69,513.0125)))</f>
        <v/>
      </c>
      <c r="J16" s="22" t="n"/>
      <c r="K16" s="23" t="n"/>
      <c r="L16" s="23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3">
        <f>SUM(M16:AB16)</f>
        <v/>
      </c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</row>
    <row r="17" ht="21" customFormat="1" customHeight="1" s="28">
      <c r="A17" s="83" t="inlineStr">
        <is>
          <t>FRANCA</t>
        </is>
      </c>
      <c r="B17" s="90" t="n"/>
      <c r="C17" s="85">
        <f>AC17</f>
        <v/>
      </c>
      <c r="D17" s="85">
        <f>C17*0.1818</f>
        <v/>
      </c>
      <c r="E17" s="85">
        <f>SUM(C17:D17)</f>
        <v/>
      </c>
      <c r="F17" s="85">
        <f>E17*0.1111</f>
        <v/>
      </c>
      <c r="G17" s="85">
        <f>E17*0.083</f>
        <v/>
      </c>
      <c r="H17" s="85">
        <f>SUM(E17:G17)*0.08</f>
        <v/>
      </c>
      <c r="I17" s="85">
        <f>IF(E17&lt;=$F$67,E17*$G$67,IF(E17&lt;=$F$68,E17*$G$68,IF(E17&lt;=$F$69,E17*$G$69,513.0125)))</f>
        <v/>
      </c>
      <c r="J17" s="22" t="n"/>
      <c r="K17" s="23" t="n"/>
      <c r="L17" s="23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SUM(M17:AB17)</f>
        <v/>
      </c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</row>
    <row r="18" ht="21" customFormat="1" customHeight="1" s="28">
      <c r="A18" s="83" t="inlineStr">
        <is>
          <t>FRANCA</t>
        </is>
      </c>
      <c r="B18" s="90" t="n"/>
      <c r="C18" s="85">
        <f>AC18</f>
        <v/>
      </c>
      <c r="D18" s="85">
        <f>C18*0.1818</f>
        <v/>
      </c>
      <c r="E18" s="85">
        <f>SUM(C18:D18)</f>
        <v/>
      </c>
      <c r="F18" s="85">
        <f>E18*0.1111</f>
        <v/>
      </c>
      <c r="G18" s="85">
        <f>E18*0.083</f>
        <v/>
      </c>
      <c r="H18" s="85">
        <f>SUM(E18:G18)*0.08</f>
        <v/>
      </c>
      <c r="I18" s="85">
        <f>IF(E18&lt;=$F$67,E18*$G$67,IF(E18&lt;=$F$68,E18*$G$68,IF(E18&lt;=$F$69,E18*$G$69,513.0125)))</f>
        <v/>
      </c>
      <c r="J18" s="22" t="n"/>
      <c r="K18" s="23" t="n"/>
      <c r="L18" s="23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SUM(M18:AB18)</f>
        <v/>
      </c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</row>
    <row r="19" ht="21" customFormat="1" customHeight="1" s="28">
      <c r="A19" s="83" t="inlineStr">
        <is>
          <t>FRANCA</t>
        </is>
      </c>
      <c r="B19" s="86" t="n"/>
      <c r="C19" s="85">
        <f>AC19</f>
        <v/>
      </c>
      <c r="D19" s="85">
        <f>C19*0.1818</f>
        <v/>
      </c>
      <c r="E19" s="85">
        <f>SUM(C19:D19)</f>
        <v/>
      </c>
      <c r="F19" s="85">
        <f>E19*0.1111</f>
        <v/>
      </c>
      <c r="G19" s="85">
        <f>E19*0.083</f>
        <v/>
      </c>
      <c r="H19" s="85">
        <f>SUM(E19:G19)*0.08</f>
        <v/>
      </c>
      <c r="I19" s="85">
        <f>IF(E19&lt;=$F$67,E19*$G$67,IF(E19&lt;=$F$68,E19*$G$68,IF(E19&lt;=$F$69,E19*$G$69,513.0125)))</f>
        <v/>
      </c>
      <c r="J19" s="22" t="n"/>
      <c r="K19" s="23" t="n"/>
      <c r="L19" s="23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SUM(M19:AB19)</f>
        <v/>
      </c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</row>
    <row r="20" ht="21" customFormat="1" customHeight="1" s="28">
      <c r="A20" s="83" t="inlineStr">
        <is>
          <t>FRANCA</t>
        </is>
      </c>
      <c r="B20" s="86" t="n"/>
      <c r="C20" s="85">
        <f>AC20</f>
        <v/>
      </c>
      <c r="D20" s="85">
        <f>C20*0.1818</f>
        <v/>
      </c>
      <c r="E20" s="85">
        <f>SUM(C20:D20)</f>
        <v/>
      </c>
      <c r="F20" s="85">
        <f>E20*0.1111</f>
        <v/>
      </c>
      <c r="G20" s="85">
        <f>E20*0.083</f>
        <v/>
      </c>
      <c r="H20" s="85">
        <f>SUM(E20:G20)*0.08</f>
        <v/>
      </c>
      <c r="I20" s="85">
        <f>IF(E20&lt;=$F$67,E20*$G$67,IF(E20&lt;=$F$68,E20*$G$68,IF(E20&lt;=$F$69,E20*$G$69,513.0125)))</f>
        <v/>
      </c>
      <c r="J20" s="22" t="n"/>
      <c r="K20" s="23" t="n"/>
      <c r="L20" s="23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SUM(M20:AB20)</f>
        <v/>
      </c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</row>
    <row r="21" ht="21" customFormat="1" customHeight="1" s="28">
      <c r="A21" s="83" t="inlineStr">
        <is>
          <t>FRANCA</t>
        </is>
      </c>
      <c r="B21" s="89" t="n"/>
      <c r="C21" s="85">
        <f>AC21</f>
        <v/>
      </c>
      <c r="D21" s="85">
        <f>C21*0.1818</f>
        <v/>
      </c>
      <c r="E21" s="85">
        <f>SUM(C21:D21)</f>
        <v/>
      </c>
      <c r="F21" s="85">
        <f>E21*0.1111</f>
        <v/>
      </c>
      <c r="G21" s="85">
        <f>E21*0.083</f>
        <v/>
      </c>
      <c r="H21" s="85">
        <f>SUM(E21:G21)*0.08</f>
        <v/>
      </c>
      <c r="I21" s="85">
        <f>IF(E21&lt;=$F$67,E21*$G$67,IF(E21&lt;=$F$68,E21*$G$68,IF(E21&lt;=$F$69,E21*$G$69,513.0125)))</f>
        <v/>
      </c>
      <c r="J21" s="22" t="n"/>
      <c r="K21" s="23" t="n"/>
      <c r="L21" s="23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SUM(M21:AB21)</f>
        <v/>
      </c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</row>
    <row r="22" ht="21" customFormat="1" customHeight="1" s="28">
      <c r="A22" s="83" t="inlineStr">
        <is>
          <t>FRANCA</t>
        </is>
      </c>
      <c r="B22" s="89" t="n"/>
      <c r="C22" s="85">
        <f>AC22</f>
        <v/>
      </c>
      <c r="D22" s="85">
        <f>C22*0.1818</f>
        <v/>
      </c>
      <c r="E22" s="85">
        <f>SUM(C22:D22)</f>
        <v/>
      </c>
      <c r="F22" s="85">
        <f>E22*0.1111</f>
        <v/>
      </c>
      <c r="G22" s="85">
        <f>E22*0.083</f>
        <v/>
      </c>
      <c r="H22" s="85">
        <f>SUM(E22:G22)*0.08</f>
        <v/>
      </c>
      <c r="I22" s="85">
        <f>IF(E22&lt;=$F$67,E22*$G$67,IF(E22&lt;=$F$68,E22*$G$68,IF(E22&lt;=$F$69,E22*$G$69,513.0125)))</f>
        <v/>
      </c>
      <c r="J22" s="22" t="n"/>
      <c r="K22" s="23" t="n"/>
      <c r="L22" s="23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SUM(M22:AB22)</f>
        <v/>
      </c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</row>
    <row r="23" ht="21" customFormat="1" customHeight="1" s="28">
      <c r="A23" s="83" t="inlineStr">
        <is>
          <t>FRANCA</t>
        </is>
      </c>
      <c r="B23" s="89" t="n"/>
      <c r="C23" s="85">
        <f>AC23</f>
        <v/>
      </c>
      <c r="D23" s="85">
        <f>C23*0.1818</f>
        <v/>
      </c>
      <c r="E23" s="85">
        <f>SUM(C23:D23)</f>
        <v/>
      </c>
      <c r="F23" s="85">
        <f>E23*0.1111</f>
        <v/>
      </c>
      <c r="G23" s="85">
        <f>E23*0.083</f>
        <v/>
      </c>
      <c r="H23" s="85">
        <f>SUM(E23:G23)*0.08</f>
        <v/>
      </c>
      <c r="I23" s="85">
        <f>IF(E23&lt;=$F$67,E23*$G$67,IF(E23&lt;=$F$68,E23*$G$68,IF(E23&lt;=$F$69,E23*$G$69,513.0125)))</f>
        <v/>
      </c>
      <c r="J23" s="22" t="n"/>
      <c r="K23" s="23" t="n"/>
      <c r="L23" s="23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SUM(M23:AB23)</f>
        <v/>
      </c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</row>
    <row r="24" ht="21" customFormat="1" customHeight="1" s="28">
      <c r="A24" s="83" t="inlineStr">
        <is>
          <t>FRANCA</t>
        </is>
      </c>
      <c r="B24" s="91" t="n"/>
      <c r="C24" s="85">
        <f>AC24</f>
        <v/>
      </c>
      <c r="D24" s="85">
        <f>C24*0.1818</f>
        <v/>
      </c>
      <c r="E24" s="85">
        <f>SUM(C24:D24)</f>
        <v/>
      </c>
      <c r="F24" s="85">
        <f>E24*0.1111</f>
        <v/>
      </c>
      <c r="G24" s="85">
        <f>E24*0.083</f>
        <v/>
      </c>
      <c r="H24" s="85">
        <f>SUM(E24:G24)*0.08</f>
        <v/>
      </c>
      <c r="I24" s="85">
        <f>IF(E24&lt;=$F$67,E24*$G$67,IF(E24&lt;=$F$68,E24*$G$68,IF(E24&lt;=$F$69,E24*$G$69,513.0125)))</f>
        <v/>
      </c>
      <c r="J24" s="22" t="n"/>
      <c r="K24" s="23" t="n"/>
      <c r="L24" s="23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SUM(M24:AB24)</f>
        <v/>
      </c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</row>
    <row r="25" ht="21" customFormat="1" customHeight="1" s="28">
      <c r="A25" s="83" t="inlineStr">
        <is>
          <t>FRANCA</t>
        </is>
      </c>
      <c r="B25" s="89" t="n"/>
      <c r="C25" s="85">
        <f>AC25</f>
        <v/>
      </c>
      <c r="D25" s="85">
        <f>C25*0.1818</f>
        <v/>
      </c>
      <c r="E25" s="85">
        <f>SUM(C25:D25)</f>
        <v/>
      </c>
      <c r="F25" s="85">
        <f>E25*0.1111</f>
        <v/>
      </c>
      <c r="G25" s="85">
        <f>E25*0.083</f>
        <v/>
      </c>
      <c r="H25" s="85">
        <f>SUM(E25:G25)*0.08</f>
        <v/>
      </c>
      <c r="I25" s="85">
        <f>IF(E25&lt;=$F$67,E25*$G$67,IF(E25&lt;=$F$68,E25*$G$68,IF(E25&lt;=$F$69,E25*$G$69,513.0125)))</f>
        <v/>
      </c>
      <c r="J25" s="22" t="n"/>
      <c r="K25" s="23" t="n"/>
      <c r="L25" s="23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SUM(M25:AB25)</f>
        <v/>
      </c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</row>
    <row r="26" ht="21" customFormat="1" customHeight="1" s="28">
      <c r="A26" s="83" t="n"/>
      <c r="B26" s="89" t="n"/>
      <c r="C26" s="85">
        <f>AC26</f>
        <v/>
      </c>
      <c r="D26" s="85">
        <f>C26*0.1818</f>
        <v/>
      </c>
      <c r="E26" s="85">
        <f>SUM(C26:D26)</f>
        <v/>
      </c>
      <c r="F26" s="85">
        <f>E26*0.1111</f>
        <v/>
      </c>
      <c r="G26" s="85">
        <f>E26*0.083</f>
        <v/>
      </c>
      <c r="H26" s="85">
        <f>SUM(E26:G26)*0.08</f>
        <v/>
      </c>
      <c r="I26" s="85">
        <f>IF(E26&lt;=$F$67,E26*$G$67,IF(E26&lt;=$F$68,E26*$G$68,IF(E26&lt;=$F$69,E26*$G$69,513.0125)))</f>
        <v/>
      </c>
      <c r="J26" s="22" t="n"/>
      <c r="K26" s="23" t="n"/>
      <c r="L26" s="23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SUM(M26:AB26)</f>
        <v/>
      </c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</row>
    <row r="27" ht="21" customFormat="1" customHeight="1" s="28" thickBot="1">
      <c r="A27" s="23" t="n"/>
      <c r="B27" s="35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43">
        <f>COUNT(M26:M26)</f>
        <v/>
      </c>
      <c r="N27" s="43">
        <f>COUNT(N26:N26)</f>
        <v/>
      </c>
      <c r="O27" s="43">
        <f>COUNT(O26:O26)</f>
        <v/>
      </c>
      <c r="P27" s="43">
        <f>COUNT(P26:P26)</f>
        <v/>
      </c>
      <c r="Q27" s="43">
        <f>COUNT(Q26:Q26)</f>
        <v/>
      </c>
      <c r="R27" s="43" t="n"/>
      <c r="S27" s="43">
        <f>COUNT(S26:S26)</f>
        <v/>
      </c>
      <c r="T27" s="43">
        <f>COUNT(T26:T26)</f>
        <v/>
      </c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23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</row>
    <row r="28" ht="21" customFormat="1" customHeight="1" s="28">
      <c r="J28" s="23" t="n"/>
      <c r="K28" s="23" t="n"/>
      <c r="L28" s="23" t="n"/>
      <c r="M28" s="44" t="inlineStr">
        <is>
          <t>TOTAL GERAL / BOLETIM ENSACADORES:</t>
        </is>
      </c>
      <c r="N28" s="45" t="n"/>
      <c r="O28" s="45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7" t="inlineStr">
        <is>
          <t>TOTAL:</t>
        </is>
      </c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 ht="21" customFormat="1" customHeight="1" s="28">
      <c r="J29" s="23" t="n"/>
      <c r="K29" s="23" t="n"/>
      <c r="L29" s="23" t="n"/>
      <c r="M29" s="48">
        <f>SUM(M6:M26)</f>
        <v/>
      </c>
      <c r="N29" s="48">
        <f>SUM(N6:N26)</f>
        <v/>
      </c>
      <c r="O29" s="48">
        <f>SUM(O6:O26)</f>
        <v/>
      </c>
      <c r="P29" s="48">
        <f>SUM(P6:P26)</f>
        <v/>
      </c>
      <c r="Q29" s="48">
        <f>SUM(Q6:Q26)</f>
        <v/>
      </c>
      <c r="R29" s="48">
        <f>SUM(R6:R26)</f>
        <v/>
      </c>
      <c r="S29" s="48">
        <f>SUM(S6:S26)</f>
        <v/>
      </c>
      <c r="T29" s="48">
        <f>SUM(T6:T26)</f>
        <v/>
      </c>
      <c r="U29" s="48">
        <f>SUM(U6:U26)</f>
        <v/>
      </c>
      <c r="V29" s="48">
        <f>SUM(V6:V26)</f>
        <v/>
      </c>
      <c r="W29" s="48">
        <f>SUM(W6:W26)</f>
        <v/>
      </c>
      <c r="X29" s="48">
        <f>SUM(X6:X26)</f>
        <v/>
      </c>
      <c r="Y29" s="48">
        <f>SUM(Y6:Y26)</f>
        <v/>
      </c>
      <c r="Z29" s="48">
        <f>SUM(Z6:Z26)</f>
        <v/>
      </c>
      <c r="AA29" s="48">
        <f>SUM(AA6:AA26)</f>
        <v/>
      </c>
      <c r="AB29" s="49" t="n"/>
      <c r="AC29" s="49" t="n"/>
      <c r="AD29" s="50">
        <f>SUM(M29:AB29)</f>
        <v/>
      </c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 ht="21" customFormat="1" customHeight="1" s="28" thickBot="1">
      <c r="J30" s="23" t="n"/>
      <c r="K30" s="23" t="n"/>
      <c r="L30" s="23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 ht="21.6" customFormat="1" customHeight="1" s="28" thickBot="1">
      <c r="A31" s="51" t="inlineStr">
        <is>
          <t>MÉDIA DIÁRIA CHAPAS</t>
        </is>
      </c>
      <c r="B31" s="51" t="n"/>
      <c r="C31" s="52" t="n">
        <v>11</v>
      </c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 ht="20.4" customFormat="1" customHeight="1" s="2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 ht="21.6" customFormat="1" customHeight="1" s="28" thickBot="1">
      <c r="A33" s="5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 ht="21" customFormat="1" customHeight="1" s="28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4" t="n"/>
      <c r="AF34" s="4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</row>
    <row r="35" ht="21" customFormat="1" customHeight="1" s="28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103" t="n">
        <v>46158</v>
      </c>
      <c r="N35" s="103" t="n">
        <v>46159</v>
      </c>
      <c r="O35" s="103" t="n">
        <v>46160</v>
      </c>
      <c r="P35" s="103" t="n">
        <v>46161</v>
      </c>
      <c r="Q35" s="103" t="n">
        <v>46162</v>
      </c>
      <c r="R35" s="103" t="n">
        <v>46163</v>
      </c>
      <c r="S35" s="103" t="n">
        <v>46164</v>
      </c>
      <c r="T35" s="103" t="n">
        <v>46165</v>
      </c>
      <c r="U35" s="103" t="n">
        <v>46166</v>
      </c>
      <c r="V35" s="103" t="n">
        <v>46167</v>
      </c>
      <c r="W35" s="103" t="n">
        <v>46168</v>
      </c>
      <c r="X35" s="103" t="n">
        <v>46169</v>
      </c>
      <c r="Y35" s="103" t="n">
        <v>46170</v>
      </c>
      <c r="Z35" s="103" t="n">
        <v>46171</v>
      </c>
      <c r="AA35" s="103" t="n">
        <v>46172</v>
      </c>
      <c r="AB35" s="103" t="n">
        <v>46173</v>
      </c>
      <c r="AC35" s="83" t="inlineStr">
        <is>
          <t>TOTAL</t>
        </is>
      </c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</row>
    <row r="36" ht="21" customFormat="1" customHeight="1" s="28">
      <c r="A36" s="93" t="inlineStr">
        <is>
          <t>FRANCA</t>
        </is>
      </c>
      <c r="B36" s="84" t="inlineStr">
        <is>
          <t>CHAPA_06</t>
        </is>
      </c>
      <c r="C36" s="85">
        <f>AC36</f>
        <v/>
      </c>
      <c r="D36" s="85">
        <f>C36*0.1818</f>
        <v/>
      </c>
      <c r="E36" s="85">
        <f>SUM(C36:D36)</f>
        <v/>
      </c>
      <c r="F36" s="85">
        <f>E36*0.1111</f>
        <v/>
      </c>
      <c r="G36" s="85">
        <f>E36*0.083</f>
        <v/>
      </c>
      <c r="H36" s="85">
        <f>SUM(E36:G36)*0.08</f>
        <v/>
      </c>
      <c r="I36" s="85">
        <f>IF(E36&lt;=$F$67,E36*$G$67,IF(E36&lt;=$F$68,E36*$G$68,IF(E36&lt;=$F$69,E36*$G$69,513.0125)))</f>
        <v/>
      </c>
      <c r="J36" s="94">
        <f>IF(I5=0,0,VLOOKUP(#REF!,$B$6:$I$26,8,0))</f>
        <v/>
      </c>
      <c r="K36" s="95">
        <f>IF(E36+I36&lt;=$K$60,(E36+I36)*J70-J36,IF(E36+I36&lt;=$K$61,(E36+I36)*J71-J36,IF(E36+I36&lt;=$K$62,(E36+I36)*L72-J36,513.0125)))</f>
        <v/>
      </c>
      <c r="L36" s="22" t="n"/>
      <c r="M36" s="32" t="n">
        <v>0</v>
      </c>
      <c r="N36" s="32" t="n">
        <v>0</v>
      </c>
      <c r="O36" s="32" t="n">
        <v>112.76</v>
      </c>
      <c r="P36" s="32" t="n">
        <v>112.76</v>
      </c>
      <c r="Q36" s="32" t="n">
        <v>112.76</v>
      </c>
      <c r="R36" s="32" t="n">
        <v>0</v>
      </c>
      <c r="S36" s="32" t="n">
        <v>112.76</v>
      </c>
      <c r="T36" s="32" t="n">
        <v>0</v>
      </c>
      <c r="U36" s="32" t="n">
        <v>0</v>
      </c>
      <c r="V36" s="32" t="n">
        <v>112.76</v>
      </c>
      <c r="W36" s="32" t="n">
        <v>112.76</v>
      </c>
      <c r="X36" s="32" t="n">
        <v>119.73</v>
      </c>
      <c r="Y36" s="32" t="n">
        <v>112.76</v>
      </c>
      <c r="Z36" s="32" t="n">
        <v>0</v>
      </c>
      <c r="AA36" s="32" t="n">
        <v>0</v>
      </c>
      <c r="AB36" s="32" t="n">
        <v>0</v>
      </c>
      <c r="AC36" s="63">
        <f>SUM(M36:AB36)</f>
        <v/>
      </c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</row>
    <row r="37" ht="21" customFormat="1" customHeight="1" s="28">
      <c r="A37" s="93" t="inlineStr">
        <is>
          <t>FRANCA</t>
        </is>
      </c>
      <c r="B37" s="84" t="inlineStr">
        <is>
          <t>CHAPA_14</t>
        </is>
      </c>
      <c r="C37" s="95">
        <f>AC37</f>
        <v/>
      </c>
      <c r="D37" s="95">
        <f>C37*0.1818</f>
        <v/>
      </c>
      <c r="E37" s="95">
        <f>SUM(C37:D37)</f>
        <v/>
      </c>
      <c r="F37" s="95">
        <f>E37*0.1111</f>
        <v/>
      </c>
      <c r="G37" s="95">
        <f>E37*0.083</f>
        <v/>
      </c>
      <c r="H37" s="95">
        <f>SUM(E37:G37)*0.08</f>
        <v/>
      </c>
      <c r="I37" s="94">
        <f>AC6</f>
        <v/>
      </c>
      <c r="J37" s="94">
        <f>IF(I6=0,0,VLOOKUP(#REF!,$B$6:$I$26,8,0))</f>
        <v/>
      </c>
      <c r="K37" s="95">
        <f>IF(E37+I37&lt;=$K$60,(E37+I37)*J71-J37,IF(E37+I37&lt;=$K$61,(E37+I37)*J72-J37,IF(E37+I37&lt;=$K$62,(E37+I37)*L73-J37,513.0125)))</f>
        <v/>
      </c>
      <c r="L37" s="22" t="n"/>
      <c r="M37" s="32" t="n">
        <v>0</v>
      </c>
      <c r="N37" s="32" t="n">
        <v>0</v>
      </c>
      <c r="O37" s="32" t="n">
        <v>0</v>
      </c>
      <c r="P37" s="32" t="n">
        <v>112.76</v>
      </c>
      <c r="Q37" s="32" t="n">
        <v>112.76</v>
      </c>
      <c r="R37" s="32" t="n">
        <v>160.81</v>
      </c>
      <c r="S37" s="32" t="n">
        <v>112.76</v>
      </c>
      <c r="T37" s="32" t="n">
        <v>0</v>
      </c>
      <c r="U37" s="32" t="n">
        <v>0</v>
      </c>
      <c r="V37" s="32" t="n">
        <v>112.76</v>
      </c>
      <c r="W37" s="32" t="n">
        <v>112.76</v>
      </c>
      <c r="X37" s="32" t="n">
        <v>119.74</v>
      </c>
      <c r="Y37" s="32" t="n">
        <v>112.76</v>
      </c>
      <c r="Z37" s="32" t="n">
        <v>115.9</v>
      </c>
      <c r="AA37" s="32" t="n">
        <v>51.25</v>
      </c>
      <c r="AB37" s="32" t="n">
        <v>0</v>
      </c>
      <c r="AC37" s="63">
        <f>SUM(M37:AB37)</f>
        <v/>
      </c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</row>
    <row r="38" ht="21" customFormat="1" customHeight="1" s="28">
      <c r="A38" s="93" t="inlineStr">
        <is>
          <t>FRANCA</t>
        </is>
      </c>
      <c r="B38" s="86" t="inlineStr">
        <is>
          <t>CHAPA_15</t>
        </is>
      </c>
      <c r="C38" s="85">
        <f>AC38</f>
        <v/>
      </c>
      <c r="D38" s="85">
        <f>C38*0.1818</f>
        <v/>
      </c>
      <c r="E38" s="85">
        <f>SUM(C38:D38)</f>
        <v/>
      </c>
      <c r="F38" s="85">
        <f>E38*0.1111</f>
        <v/>
      </c>
      <c r="G38" s="85">
        <f>E38*0.083</f>
        <v/>
      </c>
      <c r="H38" s="85">
        <f>SUM(E38:G38)*0.08</f>
        <v/>
      </c>
      <c r="I38" s="85">
        <f>IF(E38&lt;=$F$67,E38*$G$67,IF(E38&lt;=$F$68,E38*$G$68,IF(E38&lt;=$F$69,E38*$G$69,513.0125)))</f>
        <v/>
      </c>
      <c r="J38" s="94">
        <f>IF(I8=0,0,VLOOKUP(#REF!,$B$6:$I$26,8,0))</f>
        <v/>
      </c>
      <c r="K38" s="95">
        <f>IF(E38+I38&lt;=$K$60,(E38+I38)*J72-J38,IF(E38+I38&lt;=$K$61,(E38+I38)*J73-J38,IF(E38+I38&lt;=$K$62,(E38+I38)*L74-J38,513.0125)))</f>
        <v/>
      </c>
      <c r="L38" s="22" t="n"/>
      <c r="M38" s="32" t="n">
        <v>0</v>
      </c>
      <c r="N38" s="32" t="n">
        <v>0</v>
      </c>
      <c r="O38" s="32" t="n">
        <v>112.76</v>
      </c>
      <c r="P38" s="32" t="n">
        <v>112.76</v>
      </c>
      <c r="Q38" s="32" t="n">
        <v>112.76</v>
      </c>
      <c r="R38" s="32" t="n">
        <v>112.76</v>
      </c>
      <c r="S38" s="32" t="n">
        <v>112.76</v>
      </c>
      <c r="T38" s="32" t="n">
        <v>51.25</v>
      </c>
      <c r="U38" s="32" t="n">
        <v>0</v>
      </c>
      <c r="V38" s="32" t="n">
        <v>112.76</v>
      </c>
      <c r="W38" s="32" t="n">
        <v>112.76</v>
      </c>
      <c r="X38" s="32" t="n">
        <v>119.74</v>
      </c>
      <c r="Y38" s="32" t="n">
        <v>112.76</v>
      </c>
      <c r="Z38" s="32" t="n">
        <v>0</v>
      </c>
      <c r="AA38" s="32" t="n">
        <v>51.25</v>
      </c>
      <c r="AB38" s="32" t="n">
        <v>0</v>
      </c>
      <c r="AC38" s="63">
        <f>SUM(M38:AB38)</f>
        <v/>
      </c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</row>
    <row r="39" ht="21" customFormat="1" customHeight="1" s="28">
      <c r="A39" s="93" t="inlineStr">
        <is>
          <t>FRANCA</t>
        </is>
      </c>
      <c r="B39" s="87" t="inlineStr">
        <is>
          <t>CHAPA_17</t>
        </is>
      </c>
      <c r="C39" s="85">
        <f>AC39</f>
        <v/>
      </c>
      <c r="D39" s="85">
        <f>C39*0.1818</f>
        <v/>
      </c>
      <c r="E39" s="85">
        <f>SUM(C39:D39)</f>
        <v/>
      </c>
      <c r="F39" s="85">
        <f>E39*0.1111</f>
        <v/>
      </c>
      <c r="G39" s="85">
        <f>E39*0.083</f>
        <v/>
      </c>
      <c r="H39" s="85">
        <f>SUM(E39:G39)*0.08</f>
        <v/>
      </c>
      <c r="I39" s="85">
        <f>IF(E39&lt;=$F$67,E39*$G$67,IF(E39&lt;=$F$68,E39*$G$68,IF(E39&lt;=$F$69,E39*$G$69,513.0125)))</f>
        <v/>
      </c>
      <c r="J39" s="94">
        <f>IF(I10=0,0,VLOOKUP(B48,$B$6:$I$26,8,0))</f>
        <v/>
      </c>
      <c r="K39" s="95">
        <f>IF(E39+I39&lt;=$K$60,(E39+I39)*J73-J39,IF(E39+I39&lt;=$K$61,(E39+I39)*J74-J39,IF(E39+I39&lt;=$K$62,(E39+I39)*L75-J39,513.0125)))</f>
        <v/>
      </c>
      <c r="L39" s="22" t="n"/>
      <c r="M39" s="32" t="n">
        <v>0</v>
      </c>
      <c r="N39" s="32" t="n">
        <v>0</v>
      </c>
      <c r="O39" s="32" t="n">
        <v>112.76</v>
      </c>
      <c r="P39" s="32" t="n">
        <v>112.76</v>
      </c>
      <c r="Q39" s="32" t="n">
        <v>151.2</v>
      </c>
      <c r="R39" s="32" t="n">
        <v>112.76</v>
      </c>
      <c r="S39" s="32" t="n">
        <v>112.76</v>
      </c>
      <c r="T39" s="32" t="n">
        <v>51.25</v>
      </c>
      <c r="U39" s="32" t="n">
        <v>0</v>
      </c>
      <c r="V39" s="32" t="n">
        <v>112.76</v>
      </c>
      <c r="W39" s="32" t="n">
        <v>112.76</v>
      </c>
      <c r="X39" s="32" t="n">
        <v>0</v>
      </c>
      <c r="Y39" s="32" t="n">
        <v>112.76</v>
      </c>
      <c r="Z39" s="32" t="n">
        <v>115.9</v>
      </c>
      <c r="AA39" s="32" t="n">
        <v>0</v>
      </c>
      <c r="AB39" s="32" t="n">
        <v>0</v>
      </c>
      <c r="AC39" s="63">
        <f>SUM(M39:AB39)</f>
        <v/>
      </c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</row>
    <row r="40" ht="21" customFormat="1" customHeight="1" s="28">
      <c r="A40" s="93" t="inlineStr">
        <is>
          <t>FRANCA</t>
        </is>
      </c>
      <c r="B40" s="89" t="inlineStr">
        <is>
          <t>CHAPA_26</t>
        </is>
      </c>
      <c r="C40" s="95">
        <f>AC40</f>
        <v/>
      </c>
      <c r="D40" s="95">
        <f>C40*0.1818</f>
        <v/>
      </c>
      <c r="E40" s="95">
        <f>SUM(C40:D40)</f>
        <v/>
      </c>
      <c r="F40" s="95">
        <f>E40*0.1111</f>
        <v/>
      </c>
      <c r="G40" s="95">
        <f>E40*0.083</f>
        <v/>
      </c>
      <c r="H40" s="95">
        <f>SUM(E40:G40)*0.08</f>
        <v/>
      </c>
      <c r="I40" s="94">
        <f>AC10</f>
        <v/>
      </c>
      <c r="J40" s="94">
        <f>IF(I10=0,0,VLOOKUP(#REF!,$B$6:$I$26,8,0))</f>
        <v/>
      </c>
      <c r="K40" s="95">
        <f>IF(E40+I40&lt;=$K$60,(E40+I40)*J74-J40,IF(E40+I40&lt;=$K$61,(E40+I40)*J75-J40,IF(E40+I40&lt;=$K$62,(E40+I40)*L76-J40,513.0125)))</f>
        <v/>
      </c>
      <c r="L40" s="22" t="n"/>
      <c r="M40" s="32" t="n">
        <v>0</v>
      </c>
      <c r="N40" s="32" t="n">
        <v>0</v>
      </c>
      <c r="O40" s="32" t="n">
        <v>112.76</v>
      </c>
      <c r="P40" s="32" t="n">
        <v>112.76</v>
      </c>
      <c r="Q40" s="32" t="n">
        <v>112.76</v>
      </c>
      <c r="R40" s="32" t="n">
        <v>112.76</v>
      </c>
      <c r="S40" s="32" t="n">
        <v>112.76</v>
      </c>
      <c r="T40" s="32" t="n">
        <v>0</v>
      </c>
      <c r="U40" s="32" t="n">
        <v>0</v>
      </c>
      <c r="V40" s="32" t="n">
        <v>112.76</v>
      </c>
      <c r="W40" s="32" t="n">
        <v>112.76</v>
      </c>
      <c r="X40" s="32" t="n">
        <v>119.74</v>
      </c>
      <c r="Y40" s="32" t="n">
        <v>112.76</v>
      </c>
      <c r="Z40" s="32" t="n">
        <v>115.9</v>
      </c>
      <c r="AA40" s="32" t="n">
        <v>51.25</v>
      </c>
      <c r="AB40" s="32" t="n">
        <v>0</v>
      </c>
      <c r="AC40" s="63">
        <f>SUM(M40:AB40)</f>
        <v/>
      </c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</row>
    <row r="41" ht="21" customFormat="1" customHeight="1" s="28">
      <c r="A41" s="93" t="inlineStr">
        <is>
          <t>FRANCA</t>
        </is>
      </c>
      <c r="B41" s="86" t="inlineStr">
        <is>
          <t>CHAPA_38</t>
        </is>
      </c>
      <c r="C41" s="85">
        <f>AC41</f>
        <v/>
      </c>
      <c r="D41" s="85">
        <f>C41*0.1818</f>
        <v/>
      </c>
      <c r="E41" s="85">
        <f>SUM(C41:D41)</f>
        <v/>
      </c>
      <c r="F41" s="85">
        <f>E41*0.1111</f>
        <v/>
      </c>
      <c r="G41" s="85">
        <f>E41*0.083</f>
        <v/>
      </c>
      <c r="H41" s="85">
        <f>SUM(E41:G41)*0.08</f>
        <v/>
      </c>
      <c r="I41" s="85">
        <f>IF(E41&lt;=$F$67,E41*$G$67,IF(E41&lt;=$F$68,E41*$G$68,IF(E41&lt;=$F$69,E41*$G$69,513.0125)))</f>
        <v/>
      </c>
      <c r="J41" s="94">
        <f>IF(I11=0,0,VLOOKUP(#REF!,$B$6:$I$26,8,0))</f>
        <v/>
      </c>
      <c r="K41" s="95">
        <f>IF(E41+I41&lt;=$K$60,(E41+I41)*J75-J41,IF(E41+I41&lt;=$K$61,(E41+I41)*J76-J41,IF(E41+I41&lt;=$K$62,(E41+I41)*L77-J41,513.0125)))</f>
        <v/>
      </c>
      <c r="L41" s="22" t="n"/>
      <c r="M41" s="32" t="n">
        <v>0</v>
      </c>
      <c r="N41" s="32" t="n">
        <v>0</v>
      </c>
      <c r="O41" s="32" t="n">
        <v>112.76</v>
      </c>
      <c r="P41" s="32" t="n">
        <v>112.76</v>
      </c>
      <c r="Q41" s="32" t="n">
        <v>112.76</v>
      </c>
      <c r="R41" s="32" t="n">
        <v>112.76</v>
      </c>
      <c r="S41" s="32" t="n">
        <v>112.76</v>
      </c>
      <c r="T41" s="32" t="n">
        <v>0</v>
      </c>
      <c r="U41" s="32" t="n">
        <v>0</v>
      </c>
      <c r="V41" s="32" t="n">
        <v>112.76</v>
      </c>
      <c r="W41" s="32" t="n">
        <v>112.76</v>
      </c>
      <c r="X41" s="32" t="n">
        <v>119.74</v>
      </c>
      <c r="Y41" s="32" t="n">
        <v>112.76</v>
      </c>
      <c r="Z41" s="32" t="n">
        <v>115.9</v>
      </c>
      <c r="AA41" s="32" t="n">
        <v>51.25</v>
      </c>
      <c r="AB41" s="32" t="n">
        <v>0</v>
      </c>
      <c r="AC41" s="63">
        <f>SUM(M41:AB41)</f>
        <v/>
      </c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</row>
    <row r="42" ht="21" customFormat="1" customHeight="1" s="28">
      <c r="A42" s="93" t="inlineStr">
        <is>
          <t>FRANCA</t>
        </is>
      </c>
      <c r="B42" s="86" t="inlineStr">
        <is>
          <t>CHAPA_41</t>
        </is>
      </c>
      <c r="C42" s="85">
        <f>AC42</f>
        <v/>
      </c>
      <c r="D42" s="85">
        <f>C42*0.1818</f>
        <v/>
      </c>
      <c r="E42" s="85">
        <f>SUM(C42:D42)</f>
        <v/>
      </c>
      <c r="F42" s="85">
        <f>E42*0.1111</f>
        <v/>
      </c>
      <c r="G42" s="85">
        <f>E42*0.083</f>
        <v/>
      </c>
      <c r="H42" s="85">
        <f>SUM(E42:G42)*0.08</f>
        <v/>
      </c>
      <c r="I42" s="85">
        <f>IF(E42&lt;=$F$67,E42*$G$67,IF(E42&lt;=$F$68,E42*$G$68,IF(E42&lt;=$F$69,E42*$G$69,513.0125)))</f>
        <v/>
      </c>
      <c r="J42" s="94">
        <f>IF(I13=0,0,VLOOKUP(#REF!,$B$6:$I$26,8,0))</f>
        <v/>
      </c>
      <c r="K42" s="95">
        <f>IF(E42+I42&lt;=$K$60,(E42+I42)*J77-J42,IF(E42+I42&lt;=$K$61,(E42+I42)*J78-J42,IF(E42+I42&lt;=$K$62,(E42+I42)*L79-J42,513.0125)))</f>
        <v/>
      </c>
      <c r="L42" s="22" t="n"/>
      <c r="M42" s="32" t="n">
        <v>0</v>
      </c>
      <c r="N42" s="32" t="n">
        <v>0</v>
      </c>
      <c r="O42" s="32" t="n">
        <v>112.76</v>
      </c>
      <c r="P42" s="32" t="n">
        <v>112.76</v>
      </c>
      <c r="Q42" s="32" t="n">
        <v>112.76</v>
      </c>
      <c r="R42" s="32" t="n">
        <v>112.76</v>
      </c>
      <c r="S42" s="32" t="n">
        <v>112.76</v>
      </c>
      <c r="T42" s="32" t="n">
        <v>51.26</v>
      </c>
      <c r="U42" s="32" t="n">
        <v>0</v>
      </c>
      <c r="V42" s="32" t="n">
        <v>0</v>
      </c>
      <c r="W42" s="32" t="n">
        <v>112.76</v>
      </c>
      <c r="X42" s="32" t="n">
        <v>119.74</v>
      </c>
      <c r="Y42" s="32" t="n">
        <v>112.76</v>
      </c>
      <c r="Z42" s="32" t="n">
        <v>115.9</v>
      </c>
      <c r="AA42" s="32" t="n">
        <v>51.25</v>
      </c>
      <c r="AB42" s="32" t="n">
        <v>0</v>
      </c>
      <c r="AC42" s="63">
        <f>SUM(M42:AB42)</f>
        <v/>
      </c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</row>
    <row r="43" ht="21" customFormat="1" customHeight="1" s="28">
      <c r="A43" s="93" t="inlineStr">
        <is>
          <t>FRANCA</t>
        </is>
      </c>
      <c r="B43" s="86" t="inlineStr">
        <is>
          <t>CHAPA_43</t>
        </is>
      </c>
      <c r="C43" s="95">
        <f>AC43</f>
        <v/>
      </c>
      <c r="D43" s="95">
        <f>C43*0.1818</f>
        <v/>
      </c>
      <c r="E43" s="95">
        <f>SUM(C43:D43)</f>
        <v/>
      </c>
      <c r="F43" s="95">
        <f>E43*0.1111</f>
        <v/>
      </c>
      <c r="G43" s="95">
        <f>E43*0.083</f>
        <v/>
      </c>
      <c r="H43" s="95">
        <f>SUM(E43:G43)*0.08</f>
        <v/>
      </c>
      <c r="I43" s="94">
        <f>AC15</f>
        <v/>
      </c>
      <c r="J43" s="94">
        <f>IF(I15=0,0,VLOOKUP(#REF!,$B$6:$I$26,8,0))</f>
        <v/>
      </c>
      <c r="K43" s="95">
        <f>IF(E43+I43&lt;=$K$60,(E43+I43)*J79-J43,IF(E43+I43&lt;=$K$61,(E43+I43)*J80-J43,IF(E43+I43&lt;=$K$62,(E43+I43)*L81-J43,513.0125)))</f>
        <v/>
      </c>
      <c r="L43" s="22" t="n"/>
      <c r="M43" s="32" t="n">
        <v>0</v>
      </c>
      <c r="N43" s="32" t="n">
        <v>0</v>
      </c>
      <c r="O43" s="32" t="n">
        <v>112.76</v>
      </c>
      <c r="P43" s="32" t="n">
        <v>0</v>
      </c>
      <c r="Q43" s="32" t="n">
        <v>112.76</v>
      </c>
      <c r="R43" s="32" t="n">
        <v>112.76</v>
      </c>
      <c r="S43" s="32" t="n">
        <v>112.76</v>
      </c>
      <c r="T43" s="32" t="n">
        <v>51.26</v>
      </c>
      <c r="U43" s="32" t="n">
        <v>0</v>
      </c>
      <c r="V43" s="32" t="n">
        <v>112.76</v>
      </c>
      <c r="W43" s="32" t="n">
        <v>112.76</v>
      </c>
      <c r="X43" s="32" t="n">
        <v>119.74</v>
      </c>
      <c r="Y43" s="32" t="n">
        <v>112.76</v>
      </c>
      <c r="Z43" s="32" t="n">
        <v>115.9</v>
      </c>
      <c r="AA43" s="32" t="n">
        <v>51.28</v>
      </c>
      <c r="AB43" s="32" t="n">
        <v>0</v>
      </c>
      <c r="AC43" s="63">
        <f>SUM(M43:AB43)</f>
        <v/>
      </c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</row>
    <row r="44" ht="21" customFormat="1" customHeight="1" s="28">
      <c r="A44" s="93" t="inlineStr">
        <is>
          <t>FRANCA</t>
        </is>
      </c>
      <c r="B44" s="84" t="inlineStr">
        <is>
          <t>CHAPA_46</t>
        </is>
      </c>
      <c r="C44" s="95">
        <f>AC44</f>
        <v/>
      </c>
      <c r="D44" s="95">
        <f>C44*0.1818</f>
        <v/>
      </c>
      <c r="E44" s="95">
        <f>SUM(C44:D44)</f>
        <v/>
      </c>
      <c r="F44" s="95">
        <f>E44*0.1111</f>
        <v/>
      </c>
      <c r="G44" s="95">
        <f>E44*0.083</f>
        <v/>
      </c>
      <c r="H44" s="95">
        <f>SUM(E44:G44)*0.08</f>
        <v/>
      </c>
      <c r="I44" s="94">
        <f>AC16</f>
        <v/>
      </c>
      <c r="J44" s="94">
        <f>IF(I16=0,0,VLOOKUP(#REF!,$B$6:$I$26,8,0))</f>
        <v/>
      </c>
      <c r="K44" s="95">
        <f>IF(E44+I44&lt;=$K$60,(E44+I44)*J80-J44,IF(E44+I44&lt;=$K$61,(E44+I44)*J81-J44,IF(E44+I44&lt;=$K$62,(E44+I44)*L82-J44,513.0125)))</f>
        <v/>
      </c>
      <c r="L44" s="22" t="n"/>
      <c r="M44" s="32" t="n">
        <v>0</v>
      </c>
      <c r="N44" s="32" t="n">
        <v>0</v>
      </c>
      <c r="O44" s="32" t="n">
        <v>112.76</v>
      </c>
      <c r="P44" s="32" t="n">
        <v>112.76</v>
      </c>
      <c r="Q44" s="32" t="n">
        <v>70.47</v>
      </c>
      <c r="R44" s="32" t="n">
        <v>0</v>
      </c>
      <c r="S44" s="32" t="n">
        <v>112.76</v>
      </c>
      <c r="T44" s="32" t="n">
        <v>0</v>
      </c>
      <c r="U44" s="32" t="n">
        <v>0</v>
      </c>
      <c r="V44" s="32" t="n">
        <v>112.76</v>
      </c>
      <c r="W44" s="32" t="n">
        <v>112.76</v>
      </c>
      <c r="X44" s="32" t="n">
        <v>119.74</v>
      </c>
      <c r="Y44" s="32" t="n">
        <v>112.76</v>
      </c>
      <c r="Z44" s="32" t="n">
        <v>115.9</v>
      </c>
      <c r="AA44" s="32" t="n">
        <v>0</v>
      </c>
      <c r="AB44" s="32" t="n">
        <v>0</v>
      </c>
      <c r="AC44" s="63">
        <f>SUM(M44:AB44)</f>
        <v/>
      </c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</row>
    <row r="45" ht="21" customFormat="1" customHeight="1" s="28">
      <c r="A45" s="93" t="inlineStr">
        <is>
          <t>FRANCA</t>
        </is>
      </c>
      <c r="B45" s="90" t="n"/>
      <c r="C45" s="95">
        <f>AC45</f>
        <v/>
      </c>
      <c r="D45" s="95">
        <f>C45*0.1818</f>
        <v/>
      </c>
      <c r="E45" s="95">
        <f>SUM(C45:D45)</f>
        <v/>
      </c>
      <c r="F45" s="95">
        <f>E45*0.1111</f>
        <v/>
      </c>
      <c r="G45" s="95">
        <f>E45*0.083</f>
        <v/>
      </c>
      <c r="H45" s="95">
        <f>SUM(E45:G45)*0.08</f>
        <v/>
      </c>
      <c r="I45" s="94">
        <f>AC17</f>
        <v/>
      </c>
      <c r="J45" s="94">
        <f>IF(I17=0,0,VLOOKUP(#REF!,$B$6:$I$26,8,0))</f>
        <v/>
      </c>
      <c r="K45" s="95">
        <f>IF(E45+I45&lt;=$K$60,(E45+I45)*J81-J45,IF(E45+I45&lt;=$K$61,(E45+I45)*J82-J45,IF(E45+I45&lt;=$K$62,(E45+I45)*L83-J45,513.0125)))</f>
        <v/>
      </c>
      <c r="L45" s="2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63">
        <f>SUM(M45:AB45)</f>
        <v/>
      </c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</row>
    <row r="46" ht="21" customFormat="1" customHeight="1" s="28">
      <c r="A46" s="93" t="inlineStr">
        <is>
          <t>FRANCA</t>
        </is>
      </c>
      <c r="B46" s="90" t="n"/>
      <c r="C46" s="95">
        <f>AC46</f>
        <v/>
      </c>
      <c r="D46" s="95">
        <f>C46*0.1818</f>
        <v/>
      </c>
      <c r="E46" s="95">
        <f>SUM(C46:D46)</f>
        <v/>
      </c>
      <c r="F46" s="95">
        <f>E46*0.1111</f>
        <v/>
      </c>
      <c r="G46" s="95">
        <f>E46*0.083</f>
        <v/>
      </c>
      <c r="H46" s="95">
        <f>SUM(E46:G46)*0.08</f>
        <v/>
      </c>
      <c r="I46" s="94">
        <f>AC18</f>
        <v/>
      </c>
      <c r="J46" s="94">
        <f>IF(I18=0,0,VLOOKUP(#REF!,$B$6:$I$26,8,0))</f>
        <v/>
      </c>
      <c r="K46" s="95">
        <f>IF(E46+I46&lt;=$K$60,(E46+I46)*J82-J46,IF(E46+I46&lt;=$K$61,(E46+I46)*J83-J46,IF(E46+I46&lt;=$K$62,(E46+I46)*L84-J46,513.0125)))</f>
        <v/>
      </c>
      <c r="L46" s="22" t="n"/>
      <c r="M46" s="90" t="n"/>
      <c r="N46" s="90" t="n"/>
      <c r="O46" s="90" t="n"/>
      <c r="P46" s="90" t="n"/>
      <c r="Q46" s="90" t="n"/>
      <c r="R46" s="90" t="n"/>
      <c r="S46" s="90" t="n"/>
      <c r="T46" s="90" t="n"/>
      <c r="U46" s="90" t="n"/>
      <c r="V46" s="90" t="n"/>
      <c r="W46" s="90" t="n"/>
      <c r="X46" s="90" t="n"/>
      <c r="Y46" s="90" t="n"/>
      <c r="Z46" s="90" t="n"/>
      <c r="AA46" s="90" t="n"/>
      <c r="AB46" s="32" t="n"/>
      <c r="AC46" s="63">
        <f>SUM(M46:AB46)</f>
        <v/>
      </c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</row>
    <row r="47" ht="21" customFormat="1" customHeight="1" s="28">
      <c r="A47" s="93" t="inlineStr">
        <is>
          <t>FRANCA</t>
        </is>
      </c>
      <c r="B47" s="84" t="n"/>
      <c r="C47" s="95" t="n">
        <v>0</v>
      </c>
      <c r="D47" s="95">
        <f>C47*0.1818</f>
        <v/>
      </c>
      <c r="E47" s="95">
        <f>SUM(C47:D47)</f>
        <v/>
      </c>
      <c r="F47" s="95">
        <f>E47*0.1111</f>
        <v/>
      </c>
      <c r="G47" s="95">
        <f>E47*0.083</f>
        <v/>
      </c>
      <c r="H47" s="95">
        <f>SUM(E47:G47)*0.08</f>
        <v/>
      </c>
      <c r="I47" s="94">
        <f>AC19</f>
        <v/>
      </c>
      <c r="J47" s="94">
        <f>IF(I19=0,0,VLOOKUP(#REF!,$B$6:$I$26,8,0))</f>
        <v/>
      </c>
      <c r="K47" s="95">
        <f>IF(E47+I47&lt;=$K$60,(E47+I47)*J83-J47,IF(E47+I47&lt;=$K$61,(E47+I47)*J84-J47,IF(E47+I47&lt;=$K$62,(E47+I47)*L85-J47,513.0125)))</f>
        <v/>
      </c>
      <c r="L47" s="2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63">
        <f>SUM(M47:AB47)</f>
        <v/>
      </c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</row>
    <row r="48" ht="21" customFormat="1" customHeight="1" s="28">
      <c r="A48" s="93" t="inlineStr">
        <is>
          <t>FRANCA</t>
        </is>
      </c>
      <c r="B48" s="89" t="n"/>
      <c r="C48" s="95">
        <f>AC48</f>
        <v/>
      </c>
      <c r="D48" s="95">
        <f>C48*0.1818</f>
        <v/>
      </c>
      <c r="E48" s="95">
        <f>SUM(C48:D48)</f>
        <v/>
      </c>
      <c r="F48" s="95">
        <f>E48*0.1111</f>
        <v/>
      </c>
      <c r="G48" s="95">
        <f>E48*0.083</f>
        <v/>
      </c>
      <c r="H48" s="95">
        <f>SUM(E48:G48)*0.08</f>
        <v/>
      </c>
      <c r="I48" s="94">
        <f>AC20</f>
        <v/>
      </c>
      <c r="J48" s="94">
        <f>IF(I20=0,0,VLOOKUP(#REF!,$B$6:$I$26,8,0))</f>
        <v/>
      </c>
      <c r="K48" s="95">
        <f>IF(E48+I48&lt;=$K$60,(E48+I48)*J84-J48,IF(E48+I48&lt;=$K$61,(E48+I48)*J85-J48,IF(E48+I48&lt;=$K$62,(E48+I48)*L86-J48,513.0125)))</f>
        <v/>
      </c>
      <c r="L48" s="2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97" t="n"/>
      <c r="AA48" s="97" t="n"/>
      <c r="AB48" s="97" t="n"/>
      <c r="AC48" s="63">
        <f>SUM(M48:AB48)</f>
        <v/>
      </c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</row>
    <row r="49" ht="21" customFormat="1" customHeight="1" s="28">
      <c r="A49" s="93" t="inlineStr">
        <is>
          <t>FRANCA</t>
        </is>
      </c>
      <c r="B49" s="86" t="n"/>
      <c r="C49" s="95">
        <f>AC49</f>
        <v/>
      </c>
      <c r="D49" s="95">
        <f>C49*0.1818</f>
        <v/>
      </c>
      <c r="E49" s="95">
        <f>SUM(C49:D49)</f>
        <v/>
      </c>
      <c r="F49" s="95">
        <f>E49*0.1111</f>
        <v/>
      </c>
      <c r="G49" s="95">
        <f>E49*0.083</f>
        <v/>
      </c>
      <c r="H49" s="95">
        <f>SUM(E49:G49)*0.08</f>
        <v/>
      </c>
      <c r="I49" s="94">
        <f>AC21</f>
        <v/>
      </c>
      <c r="J49" s="94">
        <f>IF(I21=0,0,VLOOKUP(B16,$B$6:$I$26,8,0))</f>
        <v/>
      </c>
      <c r="K49" s="95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63">
        <f>SUM(M49:AB49)</f>
        <v/>
      </c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</row>
    <row r="50" ht="21" customFormat="1" customHeight="1" s="28">
      <c r="A50" s="93" t="inlineStr">
        <is>
          <t>FRANCA</t>
        </is>
      </c>
      <c r="B50" s="86" t="n"/>
      <c r="C50" s="95">
        <f>AC50</f>
        <v/>
      </c>
      <c r="D50" s="95">
        <f>C50*0.1818</f>
        <v/>
      </c>
      <c r="E50" s="95">
        <f>SUM(C50:D50)</f>
        <v/>
      </c>
      <c r="F50" s="95">
        <f>E50*0.1111</f>
        <v/>
      </c>
      <c r="G50" s="95">
        <f>E50*0.083</f>
        <v/>
      </c>
      <c r="H50" s="95">
        <f>SUM(E50:G50)*0.08</f>
        <v/>
      </c>
      <c r="I50" s="94">
        <f>AC22</f>
        <v/>
      </c>
      <c r="J50" s="94">
        <f>IF(I22=0,0,VLOOKUP(#REF!,$B$6:$I$26,8,0))</f>
        <v/>
      </c>
      <c r="K50" s="95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63">
        <f>SUM(M50:AB50)</f>
        <v/>
      </c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</row>
    <row r="51" ht="21" customFormat="1" customHeight="1" s="28">
      <c r="A51" s="93" t="inlineStr">
        <is>
          <t>FRANCA</t>
        </is>
      </c>
      <c r="B51" s="90" t="n"/>
      <c r="C51" s="95">
        <f>AC51</f>
        <v/>
      </c>
      <c r="D51" s="95">
        <f>C51*0.1818</f>
        <v/>
      </c>
      <c r="E51" s="95">
        <f>SUM(C51:D51)</f>
        <v/>
      </c>
      <c r="F51" s="95">
        <f>E51*0.1111</f>
        <v/>
      </c>
      <c r="G51" s="95">
        <f>E51*0.083</f>
        <v/>
      </c>
      <c r="H51" s="95">
        <f>SUM(E51:G51)*0.08</f>
        <v/>
      </c>
      <c r="I51" s="94">
        <f>AC23</f>
        <v/>
      </c>
      <c r="J51" s="94">
        <f>IF(I23=0,0,VLOOKUP(#REF!,$B$6:$I$26,8,0))</f>
        <v/>
      </c>
      <c r="K51" s="95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63">
        <f>SUM(M51:AB51)</f>
        <v/>
      </c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</row>
    <row r="52" ht="21" customFormat="1" customHeight="1" s="28">
      <c r="A52" s="93" t="inlineStr">
        <is>
          <t>FRANCA</t>
        </is>
      </c>
      <c r="B52" s="90" t="n"/>
      <c r="C52" s="95">
        <f>AC52</f>
        <v/>
      </c>
      <c r="D52" s="95">
        <f>C52*0.1818</f>
        <v/>
      </c>
      <c r="E52" s="95">
        <f>SUM(C52:D52)</f>
        <v/>
      </c>
      <c r="F52" s="95">
        <f>E52*0.1111</f>
        <v/>
      </c>
      <c r="G52" s="95">
        <f>E52*0.083</f>
        <v/>
      </c>
      <c r="H52" s="95">
        <f>SUM(E52:G52)*0.08</f>
        <v/>
      </c>
      <c r="I52" s="94">
        <f>AC24</f>
        <v/>
      </c>
      <c r="J52" s="94">
        <f>IF(I24=0,0,VLOOKUP(#REF!,$B$6:$I$26,8,0))</f>
        <v/>
      </c>
      <c r="K52" s="95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3">
        <f>SUM(M52:AB52)</f>
        <v/>
      </c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inlineStr">
        <is>
          <t xml:space="preserve"> </t>
        </is>
      </c>
      <c r="AM52" s="27" t="n"/>
      <c r="AN52" s="27" t="n"/>
      <c r="AO52" s="27" t="n"/>
    </row>
    <row r="53" ht="21" customFormat="1" customHeight="1" s="28">
      <c r="A53" s="93" t="inlineStr">
        <is>
          <t>FRANCA</t>
        </is>
      </c>
      <c r="B53" s="90" t="n"/>
      <c r="C53" s="95">
        <f>AC53</f>
        <v/>
      </c>
      <c r="D53" s="95">
        <f>C53*0.1818</f>
        <v/>
      </c>
      <c r="E53" s="95">
        <f>SUM(C53:D53)</f>
        <v/>
      </c>
      <c r="F53" s="95">
        <f>E53*0.1111</f>
        <v/>
      </c>
      <c r="G53" s="95">
        <f>E53*0.083</f>
        <v/>
      </c>
      <c r="H53" s="95">
        <f>SUM(E53:G53)*0.08</f>
        <v/>
      </c>
      <c r="I53" s="94">
        <f>AC25</f>
        <v/>
      </c>
      <c r="J53" s="94">
        <f>IF(I25=0,0,VLOOKUP(#REF!,$B$6:$I$26,8,0))</f>
        <v/>
      </c>
      <c r="K53" s="95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3">
        <f>SUM(M53:AB53)</f>
        <v/>
      </c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</row>
    <row r="54" ht="21" customFormat="1" customHeight="1" s="28">
      <c r="A54" s="93" t="inlineStr">
        <is>
          <t>FRANCA</t>
        </is>
      </c>
      <c r="B54" s="90" t="n"/>
      <c r="C54" s="95">
        <f>AC54</f>
        <v/>
      </c>
      <c r="D54" s="95">
        <f>C54*0.1818</f>
        <v/>
      </c>
      <c r="E54" s="95">
        <f>SUM(C54:D54)</f>
        <v/>
      </c>
      <c r="F54" s="95">
        <f>E54*0.1111</f>
        <v/>
      </c>
      <c r="G54" s="95">
        <f>E54*0.083</f>
        <v/>
      </c>
      <c r="H54" s="95">
        <f>SUM(E54:G54)*0.08</f>
        <v/>
      </c>
      <c r="I54" s="94">
        <f>AC26</f>
        <v/>
      </c>
      <c r="J54" s="94">
        <f>IF(I26=0,0,VLOOKUP(#REF!,$B$6:$I$26,8,0))</f>
        <v/>
      </c>
      <c r="K54" s="95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3">
        <f>SUM(M54:AB54)</f>
        <v/>
      </c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</row>
    <row r="55" ht="21" customFormat="1" customHeight="1" s="28" thickBot="1">
      <c r="A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43" t="n"/>
      <c r="N55" s="43" t="n">
        <v>29</v>
      </c>
      <c r="O55" s="43">
        <f>COUNT(#REF!)</f>
        <v/>
      </c>
      <c r="P55" s="43">
        <f>COUNT(#REF!)</f>
        <v/>
      </c>
      <c r="Q55" s="43">
        <f>COUNT(#REF!)</f>
        <v/>
      </c>
      <c r="R55" s="43" t="n"/>
      <c r="S55" s="43">
        <f>COUNT(#REF!)</f>
        <v/>
      </c>
      <c r="T55" s="43">
        <f>COUNT(#REF!)</f>
        <v/>
      </c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23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</row>
    <row r="56" ht="21" customFormat="1" customHeight="1" s="28">
      <c r="L56" s="23" t="n"/>
      <c r="M56" s="44" t="inlineStr">
        <is>
          <t>TOTAL GERAL / BOLETIM ENSACADORES:</t>
        </is>
      </c>
      <c r="N56" s="45" t="n"/>
      <c r="O56" s="45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7" t="inlineStr">
        <is>
          <t>TOTAL:</t>
        </is>
      </c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</row>
    <row r="57" ht="22.8" customFormat="1" customHeight="1" s="28">
      <c r="L57" s="23" t="n"/>
      <c r="M57" s="48">
        <f>SUM(M36:M54)</f>
        <v/>
      </c>
      <c r="N57" s="48">
        <f>SUM(N36:N54)</f>
        <v/>
      </c>
      <c r="O57" s="48">
        <f>SUM(O36:O54)</f>
        <v/>
      </c>
      <c r="P57" s="48">
        <f>SUM(P36:P54)</f>
        <v/>
      </c>
      <c r="Q57" s="48">
        <f>SUM(Q36:Q54)</f>
        <v/>
      </c>
      <c r="R57" s="48">
        <f>SUM(R36:R54)</f>
        <v/>
      </c>
      <c r="S57" s="48">
        <f>SUM(S36:S54)</f>
        <v/>
      </c>
      <c r="T57" s="48">
        <f>SUM(T36:T54)</f>
        <v/>
      </c>
      <c r="U57" s="48">
        <f>SUM(U36:U54)</f>
        <v/>
      </c>
      <c r="V57" s="48">
        <f>SUM(V36:V54)</f>
        <v/>
      </c>
      <c r="W57" s="48">
        <f>SUM(W36:W54)</f>
        <v/>
      </c>
      <c r="X57" s="48">
        <f>SUM(X36:X54)</f>
        <v/>
      </c>
      <c r="Y57" s="48">
        <f>SUM(Y36:Y54)</f>
        <v/>
      </c>
      <c r="Z57" s="48">
        <f>SUM(Z36:Z54)</f>
        <v/>
      </c>
      <c r="AA57" s="48">
        <f>SUM(AA36:AA54)</f>
        <v/>
      </c>
      <c r="AB57" s="48">
        <f>SUM(AB36:AB54)</f>
        <v/>
      </c>
      <c r="AC57" s="49" t="n"/>
      <c r="AD57" s="50">
        <f>SUM(M57:AB57)</f>
        <v/>
      </c>
      <c r="AE57" s="27" t="n"/>
      <c r="AF57" s="71" t="inlineStr">
        <is>
          <t>TOTAL FATURA</t>
        </is>
      </c>
      <c r="AG57" s="71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</row>
    <row r="58" ht="22.8" customFormat="1" customHeight="1" s="28">
      <c r="L58" s="23" t="n"/>
      <c r="AE58" s="27" t="n"/>
      <c r="AF58" s="161">
        <f>SUM(AD29,AD57)</f>
        <v/>
      </c>
      <c r="AG58" s="162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</row>
    <row r="59" ht="21" customFormat="1" customHeight="1" s="28" thickBot="1">
      <c r="L59" s="23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</row>
    <row r="60" ht="21.6" customFormat="1" customHeight="1" s="28" thickBot="1">
      <c r="A60" s="75" t="inlineStr">
        <is>
          <t>MÉDIA DIARIA CHAPAS</t>
        </is>
      </c>
      <c r="B60" s="156" t="n"/>
      <c r="C60" s="52" t="n">
        <v>11</v>
      </c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</row>
    <row r="61" ht="21.6" customFormat="1" customHeight="1" s="28" thickBot="1">
      <c r="A61" s="164" t="inlineStr">
        <is>
          <t>TOTAL DE CHAPAS NO MÊS</t>
        </is>
      </c>
      <c r="B61" s="156" t="n"/>
      <c r="C61" s="79" t="n">
        <v>11</v>
      </c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</row>
    <row r="62" ht="21" customFormat="1" customHeight="1" s="28">
      <c r="A62" s="80" t="n"/>
      <c r="B62" s="23" t="n"/>
      <c r="C62" s="76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</row>
    <row r="63" ht="25.8" customFormat="1" customHeight="1" s="28">
      <c r="A63" s="81" t="n"/>
      <c r="B63" s="82" t="n"/>
      <c r="C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</row>
    <row r="64" ht="21" customFormat="1" customHeight="1" s="28">
      <c r="A64" s="34" t="n"/>
      <c r="B64" s="34" t="n"/>
      <c r="C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</row>
    <row r="65" ht="21" customFormat="1" customHeight="1" s="28">
      <c r="A65" s="34" t="n"/>
      <c r="B65" s="34" t="n"/>
      <c r="C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</row>
    <row r="66" ht="21" customFormat="1" customHeight="1" s="28">
      <c r="A66" s="34" t="n"/>
      <c r="B66" s="34" t="n"/>
      <c r="C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</row>
    <row r="67" ht="21" customFormat="1" customHeight="1" s="28">
      <c r="A67" s="34" t="n"/>
      <c r="B67" s="34" t="n"/>
      <c r="C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</row>
    <row r="68" ht="21" customFormat="1" customHeight="1" s="28">
      <c r="A68" s="34" t="n"/>
      <c r="B68" s="34" t="n"/>
      <c r="C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</row>
    <row r="69" ht="21" customFormat="1" customHeight="1" s="28">
      <c r="A69" s="34" t="n"/>
      <c r="B69" s="34" t="n"/>
      <c r="C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  <c r="AD69" s="34" t="n"/>
    </row>
    <row r="70" ht="21" customFormat="1" customHeight="1" s="28">
      <c r="A70" s="34" t="n"/>
      <c r="B70" s="34" t="n"/>
      <c r="C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</row>
    <row r="71" ht="21" customFormat="1" customHeight="1" s="28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</row>
    <row r="72" customFormat="1" s="28"/>
    <row r="73" customFormat="1" s="28"/>
    <row r="74" customFormat="1" s="28"/>
    <row r="75" customFormat="1" s="28"/>
    <row r="76" customFormat="1" s="28"/>
    <row r="77" customFormat="1" s="28"/>
    <row r="78" customFormat="1" s="28"/>
    <row r="79" customFormat="1" s="28"/>
    <row r="80" customFormat="1" s="28"/>
    <row r="81" customFormat="1" s="28"/>
    <row r="82" customFormat="1" s="28"/>
    <row r="83" customFormat="1" s="28"/>
    <row r="84" customFormat="1" s="28"/>
    <row r="85" customFormat="1" s="28"/>
    <row r="86" customFormat="1" s="28"/>
    <row r="87" customFormat="1" s="28"/>
    <row r="88" customFormat="1" s="28"/>
    <row r="89" customFormat="1" s="28"/>
    <row r="90" customFormat="1" s="28"/>
    <row r="91" customFormat="1" s="28"/>
    <row r="92" customFormat="1" s="28"/>
    <row r="93" customFormat="1" s="28"/>
    <row r="94" customFormat="1" s="28"/>
    <row r="95" customFormat="1" s="28"/>
    <row r="96" customFormat="1" s="28"/>
    <row r="97" customFormat="1" s="28"/>
    <row r="98" customFormat="1" s="28"/>
    <row r="99" customFormat="1" s="28"/>
    <row r="100" customFormat="1" s="28"/>
    <row r="101" customFormat="1" s="28"/>
    <row r="102" customFormat="1" s="28"/>
    <row r="103" customFormat="1" s="28"/>
    <row r="104" customFormat="1" s="28"/>
    <row r="105" customFormat="1" s="28"/>
    <row r="106" customFormat="1" s="28"/>
    <row r="107" customFormat="1" s="28"/>
    <row r="108" customFormat="1" s="28"/>
    <row r="109" customFormat="1" s="28"/>
    <row r="110" customFormat="1" s="28"/>
    <row r="111" customFormat="1" s="28"/>
    <row r="112" customFormat="1" s="28"/>
    <row r="113" customFormat="1" s="28"/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AD114" s="28" t="n"/>
      <c r="AE114" s="28" t="n"/>
      <c r="AF114" s="28" t="n"/>
      <c r="AG114" s="28" t="n"/>
      <c r="AH114" s="28" t="n"/>
    </row>
  </sheetData>
  <mergeCells count="10">
    <mergeCell ref="A34:K34"/>
    <mergeCell ref="M34:AD34"/>
    <mergeCell ref="M4:AC4"/>
    <mergeCell ref="A60:B60"/>
    <mergeCell ref="A2:H2"/>
    <mergeCell ref="AF58:AG58"/>
    <mergeCell ref="A3:I3"/>
    <mergeCell ref="A1:H1"/>
    <mergeCell ref="A4:I4"/>
    <mergeCell ref="A61:B61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14"/>
  <sheetViews>
    <sheetView topLeftCell="A13" zoomScale="40" zoomScaleNormal="40" workbookViewId="0">
      <selection activeCell="AD55" sqref="AD55"/>
    </sheetView>
  </sheetViews>
  <sheetFormatPr baseColWidth="8" defaultColWidth="9.109375" defaultRowHeight="14.4"/>
  <cols>
    <col width="14.109375" customWidth="1" style="108" min="1" max="1"/>
    <col width="60.44140625" bestFit="1" customWidth="1" style="108" min="2" max="2"/>
    <col width="16.33203125" bestFit="1" customWidth="1" style="108" min="3" max="3"/>
    <col width="15.109375" bestFit="1" customWidth="1" style="108" min="4" max="4"/>
    <col width="16.33203125" bestFit="1" customWidth="1" style="108" min="5" max="5"/>
    <col width="14.88671875" customWidth="1" style="108" min="6" max="6"/>
    <col width="21.6640625" bestFit="1" customWidth="1" style="108" min="7" max="7"/>
    <col width="15" bestFit="1" customWidth="1" style="108" min="8" max="8"/>
    <col width="14" customWidth="1" style="108" min="9" max="9"/>
    <col width="20.88671875" customWidth="1" style="108" min="10" max="10"/>
    <col width="20.6640625" customWidth="1" style="108" min="11" max="11"/>
    <col width="3" customWidth="1" style="108" min="12" max="12"/>
    <col width="15.33203125" customWidth="1" style="108" min="13" max="14"/>
    <col width="15.109375" customWidth="1" style="108" min="15" max="15"/>
    <col width="14.6640625" customWidth="1" style="108" min="16" max="16"/>
    <col width="15.109375" customWidth="1" style="108" min="17" max="17"/>
    <col width="15.109375" bestFit="1" customWidth="1" style="108" min="18" max="19"/>
    <col width="14.6640625" customWidth="1" style="108" min="20" max="20"/>
    <col width="15.109375" customWidth="1" style="108" min="21" max="21"/>
    <col width="14.44140625" customWidth="1" style="108" min="22" max="22"/>
    <col width="15" customWidth="1" style="108" min="23" max="26"/>
    <col width="14.88671875" customWidth="1" style="108" min="27" max="28"/>
    <col width="14" customWidth="1" style="108" min="29" max="29"/>
    <col width="18.44140625" bestFit="1" customWidth="1" style="108" min="30" max="30"/>
    <col width="9.109375" customWidth="1" style="108" min="31" max="31"/>
    <col width="10.33203125" bestFit="1" customWidth="1" style="108" min="32" max="32"/>
    <col width="20" customWidth="1" style="108" min="33" max="33"/>
    <col width="10.33203125" bestFit="1" customWidth="1" style="108" min="34" max="34"/>
    <col width="9.109375" customWidth="1" style="108" min="35" max="35"/>
    <col width="10.33203125" bestFit="1" customWidth="1" style="108" min="36" max="37"/>
    <col width="9.109375" customWidth="1" style="108" min="38" max="38"/>
    <col width="10.33203125" bestFit="1" customWidth="1" style="108" min="39" max="39"/>
    <col width="9.109375" customWidth="1" style="108" min="40" max="16384"/>
  </cols>
  <sheetData>
    <row r="1" ht="30" customHeight="1">
      <c r="A1" s="104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106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</row>
    <row r="2" ht="30" customHeight="1" thickBot="1">
      <c r="A2" s="109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111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  <c r="V2" s="107" t="n"/>
      <c r="W2" s="107" t="n"/>
      <c r="X2" s="107" t="n"/>
      <c r="Y2" s="107" t="n"/>
      <c r="Z2" s="107" t="n"/>
      <c r="AA2" s="107" t="n"/>
      <c r="AB2" s="107" t="n"/>
      <c r="AC2" s="107" t="n"/>
      <c r="AD2" s="107" t="n"/>
      <c r="AE2" s="107" t="n"/>
      <c r="AF2" s="107" t="n"/>
      <c r="AG2" s="107" t="n"/>
      <c r="AH2" s="107" t="n"/>
      <c r="AI2" s="107" t="n"/>
      <c r="AJ2" s="107" t="n"/>
      <c r="AK2" s="107" t="n"/>
      <c r="AL2" s="107" t="n"/>
      <c r="AM2" s="107" t="n"/>
      <c r="AN2" s="107" t="n"/>
      <c r="AO2" s="107" t="n"/>
      <c r="AP2" s="107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</row>
    <row r="4" ht="21" customHeigh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2" t="n"/>
      <c r="K4" s="112" t="n"/>
      <c r="L4" s="112" t="n"/>
      <c r="M4" s="102" t="inlineStr">
        <is>
          <t>total</t>
        </is>
      </c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63" t="n"/>
      <c r="AC4" s="162" t="n"/>
      <c r="AD4" s="113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</row>
    <row r="5" ht="21" customFormat="1" customHeight="1" s="116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114" t="n"/>
      <c r="L5" s="114" t="n"/>
      <c r="M5" s="103" t="n">
        <v>46174</v>
      </c>
      <c r="N5" s="103" t="n">
        <v>46175</v>
      </c>
      <c r="O5" s="103" t="n">
        <v>46176</v>
      </c>
      <c r="P5" s="103" t="n">
        <v>46177</v>
      </c>
      <c r="Q5" s="103" t="n">
        <v>46178</v>
      </c>
      <c r="R5" s="103" t="n">
        <v>46179</v>
      </c>
      <c r="S5" s="103" t="n">
        <v>46180</v>
      </c>
      <c r="T5" s="103" t="n">
        <v>46181</v>
      </c>
      <c r="U5" s="103" t="n">
        <v>46182</v>
      </c>
      <c r="V5" s="103" t="n">
        <v>46183</v>
      </c>
      <c r="W5" s="103" t="n">
        <v>46184</v>
      </c>
      <c r="X5" s="103" t="n">
        <v>46185</v>
      </c>
      <c r="Y5" s="103" t="n">
        <v>46186</v>
      </c>
      <c r="Z5" s="103" t="n">
        <v>46187</v>
      </c>
      <c r="AA5" s="103" t="n">
        <v>46188</v>
      </c>
      <c r="AB5" s="103" t="n"/>
      <c r="AC5" s="83" t="inlineStr">
        <is>
          <t>TOTAL</t>
        </is>
      </c>
      <c r="AD5" s="115" t="n"/>
      <c r="AE5" s="115" t="n"/>
      <c r="AF5" s="115" t="n"/>
      <c r="AG5" s="115" t="n"/>
      <c r="AH5" s="115" t="n"/>
      <c r="AI5" s="115" t="n"/>
      <c r="AJ5" s="115" t="n"/>
      <c r="AK5" s="115" t="n"/>
      <c r="AL5" s="115" t="n"/>
      <c r="AM5" s="115" t="n"/>
      <c r="AN5" s="115" t="n"/>
      <c r="AO5" s="115" t="n"/>
    </row>
    <row r="6" ht="21" customFormat="1" customHeight="1" s="116">
      <c r="A6" s="83" t="inlineStr">
        <is>
          <t>FRANCA</t>
        </is>
      </c>
      <c r="B6" s="117" t="inlineStr">
        <is>
          <t>CHAPA_06</t>
        </is>
      </c>
      <c r="C6" s="118">
        <f>AC6</f>
        <v/>
      </c>
      <c r="D6" s="118">
        <f>C6*0.1818</f>
        <v/>
      </c>
      <c r="E6" s="118">
        <f>SUM(C6:D6)</f>
        <v/>
      </c>
      <c r="F6" s="118">
        <f>E6*0.1111</f>
        <v/>
      </c>
      <c r="G6" s="118">
        <f>E6*0.083</f>
        <v/>
      </c>
      <c r="H6" s="118">
        <f>SUM(E6:G6)*0.08</f>
        <v/>
      </c>
      <c r="I6" s="118">
        <f>IF(E6&lt;=$F$67,E6*$G$67,IF(E6&lt;=$F$68,E6*$G$68,IF(E6&lt;=$F$69,E6*$G$69,513.0125)))</f>
        <v/>
      </c>
      <c r="J6" s="22" t="n"/>
      <c r="K6" s="114" t="n"/>
      <c r="L6" s="114" t="n"/>
      <c r="M6" s="32" t="n">
        <v>112.76</v>
      </c>
      <c r="N6" s="32" t="n">
        <v>112.76</v>
      </c>
      <c r="O6" s="32" t="n">
        <v>112.76</v>
      </c>
      <c r="P6" s="32" t="n">
        <v>0</v>
      </c>
      <c r="Q6" s="32" t="n">
        <v>112.76</v>
      </c>
      <c r="R6" s="32" t="n">
        <v>51.26</v>
      </c>
      <c r="S6" s="32" t="n">
        <v>0</v>
      </c>
      <c r="T6" s="32" t="n">
        <v>0</v>
      </c>
      <c r="U6" s="32" t="n">
        <v>112.76</v>
      </c>
      <c r="V6" s="32" t="n">
        <v>0</v>
      </c>
      <c r="W6" s="32" t="n">
        <v>112.76</v>
      </c>
      <c r="X6" s="32" t="n">
        <v>51.25</v>
      </c>
      <c r="Y6" s="32" t="n">
        <v>51.25</v>
      </c>
      <c r="Z6" s="32" t="n">
        <v>0</v>
      </c>
      <c r="AA6" s="32" t="n">
        <v>112.76</v>
      </c>
      <c r="AB6" s="32" t="n"/>
      <c r="AC6" s="33">
        <f>SUM(M6:AB6)</f>
        <v/>
      </c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</row>
    <row r="7" ht="21" customFormat="1" customHeight="1" s="116">
      <c r="A7" s="83" t="inlineStr">
        <is>
          <t>FRANCA</t>
        </is>
      </c>
      <c r="B7" s="117" t="inlineStr">
        <is>
          <t>CHAPA_14</t>
        </is>
      </c>
      <c r="C7" s="118">
        <f>AC7</f>
        <v/>
      </c>
      <c r="D7" s="118">
        <f>C7*0.1818</f>
        <v/>
      </c>
      <c r="E7" s="118">
        <f>SUM(C7:D7)</f>
        <v/>
      </c>
      <c r="F7" s="118">
        <f>E7*0.1111</f>
        <v/>
      </c>
      <c r="G7" s="118">
        <f>E7*0.083</f>
        <v/>
      </c>
      <c r="H7" s="118">
        <f>SUM(E7:G7)*0.08</f>
        <v/>
      </c>
      <c r="I7" s="118">
        <f>IF(E7&lt;=$F$67,E7*$G$67,IF(E7&lt;=$F$68,E7*$G$68,IF(E7&lt;=$F$69,E7*$G$69,513.0125)))</f>
        <v/>
      </c>
      <c r="J7" s="22" t="n"/>
      <c r="K7" s="119" t="n"/>
      <c r="L7" s="114" t="n"/>
      <c r="M7" s="32" t="n">
        <v>112.76</v>
      </c>
      <c r="N7" s="32" t="n">
        <v>112.76</v>
      </c>
      <c r="O7" s="32" t="n">
        <v>112.76</v>
      </c>
      <c r="P7" s="32" t="n">
        <v>0</v>
      </c>
      <c r="Q7" s="32" t="n">
        <v>112.76</v>
      </c>
      <c r="R7" s="32" t="n">
        <v>0</v>
      </c>
      <c r="S7" s="32" t="n">
        <v>0</v>
      </c>
      <c r="T7" s="32" t="n">
        <v>165.77</v>
      </c>
      <c r="U7" s="32" t="n">
        <v>112.76</v>
      </c>
      <c r="V7" s="32" t="n">
        <v>112.76</v>
      </c>
      <c r="W7" s="32" t="n">
        <v>112.76</v>
      </c>
      <c r="X7" s="32" t="n">
        <v>112.76</v>
      </c>
      <c r="Y7" s="32" t="n">
        <v>185.79</v>
      </c>
      <c r="Z7" s="32" t="n">
        <v>0</v>
      </c>
      <c r="AA7" s="32" t="n">
        <v>112.76</v>
      </c>
      <c r="AB7" s="32" t="n"/>
      <c r="AC7" s="33">
        <f>SUM(M7:AB7)</f>
        <v/>
      </c>
      <c r="AD7" s="115" t="n"/>
      <c r="AE7" s="115" t="n"/>
      <c r="AF7" s="115" t="n"/>
      <c r="AG7" s="115" t="n"/>
      <c r="AH7" s="115" t="n"/>
      <c r="AI7" s="115" t="n"/>
      <c r="AJ7" s="115" t="n"/>
      <c r="AK7" s="115" t="n"/>
      <c r="AL7" s="115" t="n"/>
      <c r="AM7" s="115" t="n"/>
      <c r="AN7" s="115" t="n"/>
      <c r="AO7" s="115" t="n"/>
    </row>
    <row r="8" ht="21" customFormat="1" customHeight="1" s="116">
      <c r="A8" s="83" t="inlineStr">
        <is>
          <t>FRANCA</t>
        </is>
      </c>
      <c r="B8" s="120" t="inlineStr">
        <is>
          <t>CHAPA_15</t>
        </is>
      </c>
      <c r="C8" s="118">
        <f>AC8</f>
        <v/>
      </c>
      <c r="D8" s="118">
        <f>C8*0.1818</f>
        <v/>
      </c>
      <c r="E8" s="118">
        <f>SUM(C8:D8)</f>
        <v/>
      </c>
      <c r="F8" s="118">
        <f>E8*0.1111</f>
        <v/>
      </c>
      <c r="G8" s="118">
        <f>E8*0.083</f>
        <v/>
      </c>
      <c r="H8" s="118">
        <f>SUM(E8:G8)*0.08</f>
        <v/>
      </c>
      <c r="I8" s="118">
        <f>IF(E8&lt;=$F$67,E8*$G$67,IF(E8&lt;=$F$68,E8*$G$68,IF(E8&lt;=$F$69,E8*$G$69,513.0125)))</f>
        <v/>
      </c>
      <c r="J8" s="22" t="n"/>
      <c r="K8" s="114" t="n"/>
      <c r="L8" s="114" t="n"/>
      <c r="M8" s="32" t="n">
        <v>112.76</v>
      </c>
      <c r="N8" s="32" t="n">
        <v>112.76</v>
      </c>
      <c r="O8" s="32" t="n">
        <v>112.76</v>
      </c>
      <c r="P8" s="32" t="n">
        <v>0</v>
      </c>
      <c r="Q8" s="32" t="n">
        <v>112.76</v>
      </c>
      <c r="R8" s="32" t="n">
        <v>0</v>
      </c>
      <c r="S8" s="32" t="n">
        <v>0</v>
      </c>
      <c r="T8" s="32" t="n">
        <v>117.72</v>
      </c>
      <c r="U8" s="32" t="n">
        <v>112.76</v>
      </c>
      <c r="V8" s="32" t="n">
        <v>112.76</v>
      </c>
      <c r="W8" s="32" t="n">
        <v>112.76</v>
      </c>
      <c r="X8" s="32" t="n">
        <v>112.76</v>
      </c>
      <c r="Y8" s="32" t="n">
        <v>51.26</v>
      </c>
      <c r="Z8" s="32" t="n">
        <v>0</v>
      </c>
      <c r="AA8" s="32" t="n">
        <v>70.45999999999999</v>
      </c>
      <c r="AB8" s="32" t="n"/>
      <c r="AC8" s="33">
        <f>SUM(M8:AB8)</f>
        <v/>
      </c>
      <c r="AD8" s="115" t="n"/>
      <c r="AE8" s="115" t="n"/>
      <c r="AF8" s="115" t="n"/>
      <c r="AG8" s="115" t="n"/>
      <c r="AH8" s="115" t="n"/>
      <c r="AI8" s="115" t="n"/>
      <c r="AJ8" s="115" t="n"/>
      <c r="AK8" s="115" t="n"/>
      <c r="AL8" s="115" t="n"/>
      <c r="AM8" s="115" t="n"/>
      <c r="AN8" s="115" t="n"/>
      <c r="AO8" s="115" t="n"/>
    </row>
    <row r="9" ht="21" customFormat="1" customHeight="1" s="116">
      <c r="A9" s="83" t="inlineStr">
        <is>
          <t>FRANCA</t>
        </is>
      </c>
      <c r="B9" s="121" t="inlineStr">
        <is>
          <t>CHAPA_17</t>
        </is>
      </c>
      <c r="C9" s="118">
        <f>AC9</f>
        <v/>
      </c>
      <c r="D9" s="118">
        <f>C9*0.1818</f>
        <v/>
      </c>
      <c r="E9" s="118">
        <f>SUM(C9:D9)</f>
        <v/>
      </c>
      <c r="F9" s="118">
        <f>E9*0.1111</f>
        <v/>
      </c>
      <c r="G9" s="118">
        <f>E9*0.083</f>
        <v/>
      </c>
      <c r="H9" s="118">
        <f>SUM(E9:G9)*0.08</f>
        <v/>
      </c>
      <c r="I9" s="118">
        <f>IF(E9&lt;=$F$67,E9*$G$67,IF(E9&lt;=$F$68,E9*$G$68,IF(E9&lt;=$F$69,E9*$G$69,513.0125)))</f>
        <v/>
      </c>
      <c r="J9" s="22" t="n"/>
      <c r="K9" s="114" t="n"/>
      <c r="L9" s="114" t="n"/>
      <c r="M9" s="32" t="n">
        <v>112.76</v>
      </c>
      <c r="N9" s="32" t="n">
        <v>112.76</v>
      </c>
      <c r="O9" s="32" t="n">
        <v>112.76</v>
      </c>
      <c r="P9" s="32" t="n">
        <v>0</v>
      </c>
      <c r="Q9" s="32" t="n">
        <v>112.76</v>
      </c>
      <c r="R9" s="32" t="n">
        <v>51.26</v>
      </c>
      <c r="S9" s="32" t="n">
        <v>0</v>
      </c>
      <c r="T9" s="32" t="n">
        <v>0</v>
      </c>
      <c r="U9" s="32" t="n">
        <v>112.76</v>
      </c>
      <c r="V9" s="32" t="n">
        <v>203.09</v>
      </c>
      <c r="W9" s="32" t="n">
        <v>112.76</v>
      </c>
      <c r="X9" s="32" t="n">
        <v>51.25</v>
      </c>
      <c r="Y9" s="32" t="n">
        <v>0</v>
      </c>
      <c r="Z9" s="32" t="n">
        <v>0</v>
      </c>
      <c r="AA9" s="32" t="n">
        <v>112.76</v>
      </c>
      <c r="AB9" s="32" t="n"/>
      <c r="AC9" s="33">
        <f>SUM(M9:AB9)</f>
        <v/>
      </c>
      <c r="AD9" s="115" t="n"/>
      <c r="AE9" s="115" t="n"/>
      <c r="AF9" s="115" t="n"/>
      <c r="AG9" s="115" t="n"/>
      <c r="AH9" s="115" t="n"/>
      <c r="AI9" s="115" t="n"/>
      <c r="AJ9" s="115" t="n"/>
      <c r="AK9" s="115" t="n"/>
      <c r="AL9" s="115" t="n"/>
      <c r="AM9" s="115" t="n"/>
      <c r="AN9" s="115" t="n"/>
      <c r="AO9" s="115" t="n"/>
    </row>
    <row r="10" ht="21" customFormat="1" customHeight="1" s="116">
      <c r="A10" s="83" t="inlineStr">
        <is>
          <t>FRANCA</t>
        </is>
      </c>
      <c r="B10" s="122" t="inlineStr">
        <is>
          <t>CHAPA_26</t>
        </is>
      </c>
      <c r="C10" s="118">
        <f>AC10</f>
        <v/>
      </c>
      <c r="D10" s="118">
        <f>C10*0.1818</f>
        <v/>
      </c>
      <c r="E10" s="118">
        <f>SUM(C10:D10)</f>
        <v/>
      </c>
      <c r="F10" s="118">
        <f>E10*0.1111</f>
        <v/>
      </c>
      <c r="G10" s="118">
        <f>E10*0.083</f>
        <v/>
      </c>
      <c r="H10" s="118">
        <f>SUM(E10:G10)*0.08</f>
        <v/>
      </c>
      <c r="I10" s="118">
        <f>IF(E10&lt;=$F$67,E10*$G$67,IF(E10&lt;=$F$68,E10*$G$68,IF(E10&lt;=$F$69,E10*$G$69,513.0125)))</f>
        <v/>
      </c>
      <c r="J10" s="22" t="n"/>
      <c r="K10" s="114" t="n"/>
      <c r="L10" s="114" t="n"/>
      <c r="M10" s="32" t="n">
        <v>112.76</v>
      </c>
      <c r="N10" s="32" t="n">
        <v>112.76</v>
      </c>
      <c r="O10" s="32" t="n">
        <v>112.76</v>
      </c>
      <c r="P10" s="32" t="n">
        <v>0</v>
      </c>
      <c r="Q10" s="32" t="n">
        <v>112.76</v>
      </c>
      <c r="R10" s="32" t="n">
        <v>0</v>
      </c>
      <c r="S10" s="32" t="n">
        <v>0</v>
      </c>
      <c r="T10" s="32" t="n">
        <v>117.72</v>
      </c>
      <c r="U10" s="32" t="n">
        <v>112.76</v>
      </c>
      <c r="V10" s="32" t="n">
        <v>112.76</v>
      </c>
      <c r="W10" s="32" t="n">
        <v>112.76</v>
      </c>
      <c r="X10" s="32" t="n">
        <v>112.76</v>
      </c>
      <c r="Y10" s="32" t="n">
        <v>51.26</v>
      </c>
      <c r="Z10" s="32" t="n">
        <v>0</v>
      </c>
      <c r="AA10" s="32" t="n">
        <v>112.76</v>
      </c>
      <c r="AB10" s="88" t="n"/>
      <c r="AC10" s="33">
        <f>SUM(M10:AB10)</f>
        <v/>
      </c>
      <c r="AD10" s="115" t="n"/>
      <c r="AE10" s="115" t="n"/>
      <c r="AF10" s="115" t="n"/>
      <c r="AG10" s="115" t="n"/>
      <c r="AH10" s="115" t="n"/>
      <c r="AI10" s="115" t="n"/>
      <c r="AJ10" s="115" t="n"/>
      <c r="AK10" s="115" t="n"/>
      <c r="AL10" s="115" t="n"/>
      <c r="AM10" s="115" t="n"/>
      <c r="AN10" s="115" t="n"/>
      <c r="AO10" s="115" t="n"/>
    </row>
    <row r="11" ht="21" customFormat="1" customHeight="1" s="116">
      <c r="A11" s="83" t="inlineStr">
        <is>
          <t>FRANCA</t>
        </is>
      </c>
      <c r="B11" s="120" t="inlineStr">
        <is>
          <t>CHAPA_38</t>
        </is>
      </c>
      <c r="C11" s="118">
        <f>AC11</f>
        <v/>
      </c>
      <c r="D11" s="118">
        <f>C11*0.1818</f>
        <v/>
      </c>
      <c r="E11" s="118">
        <f>SUM(C11:D11)</f>
        <v/>
      </c>
      <c r="F11" s="118">
        <f>E11*0.1111</f>
        <v/>
      </c>
      <c r="G11" s="118">
        <f>E11*0.083</f>
        <v/>
      </c>
      <c r="H11" s="118">
        <f>SUM(E11:G11)*0.08</f>
        <v/>
      </c>
      <c r="I11" s="118">
        <f>IF(E11&lt;=$F$67,E11*$G$67,IF(E11&lt;=$F$68,E11*$G$68,IF(E11&lt;=$F$69,E11*$G$69,513.0125)))</f>
        <v/>
      </c>
      <c r="J11" s="22" t="n"/>
      <c r="K11" s="114" t="n"/>
      <c r="L11" s="114" t="n"/>
      <c r="M11" s="32" t="n">
        <v>112.76</v>
      </c>
      <c r="N11" s="32" t="n">
        <v>112.76</v>
      </c>
      <c r="O11" s="32" t="n">
        <v>112.76</v>
      </c>
      <c r="P11" s="32" t="n">
        <v>0</v>
      </c>
      <c r="Q11" s="32" t="n">
        <v>112.76</v>
      </c>
      <c r="R11" s="32" t="n">
        <v>0</v>
      </c>
      <c r="S11" s="32" t="n">
        <v>0</v>
      </c>
      <c r="T11" s="32" t="n">
        <v>165.78</v>
      </c>
      <c r="U11" s="32" t="n">
        <v>112.76</v>
      </c>
      <c r="V11" s="32" t="n">
        <v>203.09</v>
      </c>
      <c r="W11" s="32" t="n">
        <v>112.76</v>
      </c>
      <c r="X11" s="32" t="n">
        <v>112.76</v>
      </c>
      <c r="Y11" s="32" t="n">
        <v>0</v>
      </c>
      <c r="Z11" s="32" t="n">
        <v>0</v>
      </c>
      <c r="AA11" s="32" t="n">
        <v>112.76</v>
      </c>
      <c r="AB11" s="32" t="n"/>
      <c r="AC11" s="33">
        <f>SUM(M11:AB11)</f>
        <v/>
      </c>
      <c r="AD11" s="115" t="n"/>
      <c r="AE11" s="115" t="n"/>
      <c r="AF11" s="115" t="n"/>
      <c r="AG11" s="115" t="n"/>
      <c r="AH11" s="115" t="n"/>
      <c r="AI11" s="115" t="n"/>
      <c r="AJ11" s="115" t="n"/>
      <c r="AK11" s="115" t="n"/>
      <c r="AL11" s="115" t="n"/>
      <c r="AM11" s="115" t="n"/>
      <c r="AN11" s="115" t="n"/>
      <c r="AO11" s="115" t="n"/>
    </row>
    <row r="12" ht="21" customFormat="1" customHeight="1" s="116">
      <c r="A12" s="83" t="inlineStr">
        <is>
          <t>FRANCA</t>
        </is>
      </c>
      <c r="B12" s="120" t="inlineStr">
        <is>
          <t>CHAPA_41</t>
        </is>
      </c>
      <c r="C12" s="118">
        <f>AC12</f>
        <v/>
      </c>
      <c r="D12" s="118">
        <f>C12*0.1818</f>
        <v/>
      </c>
      <c r="E12" s="118">
        <f>SUM(C12:D12)</f>
        <v/>
      </c>
      <c r="F12" s="118">
        <f>E12*0.1111</f>
        <v/>
      </c>
      <c r="G12" s="118">
        <f>E12*0.083</f>
        <v/>
      </c>
      <c r="H12" s="118">
        <f>SUM(E12:G12)*0.08</f>
        <v/>
      </c>
      <c r="I12" s="118">
        <f>IF(E12&lt;=$F$67,E12*$G$67,IF(E12&lt;=$F$68,E12*$G$68,IF(E12&lt;=$F$69,E12*$G$69,513.0125)))</f>
        <v/>
      </c>
      <c r="J12" s="22" t="n"/>
      <c r="K12" s="114" t="n"/>
      <c r="L12" s="114" t="n"/>
      <c r="M12" s="32" t="n">
        <v>112.76</v>
      </c>
      <c r="N12" s="32" t="n">
        <v>112.76</v>
      </c>
      <c r="O12" s="32" t="n">
        <v>112.76</v>
      </c>
      <c r="P12" s="32" t="n">
        <v>0</v>
      </c>
      <c r="Q12" s="32" t="n">
        <v>112.76</v>
      </c>
      <c r="R12" s="32" t="n">
        <v>51.26</v>
      </c>
      <c r="S12" s="32" t="n">
        <v>0</v>
      </c>
      <c r="T12" s="32" t="n">
        <v>117.72</v>
      </c>
      <c r="U12" s="32" t="n">
        <v>112.76</v>
      </c>
      <c r="V12" s="32" t="n">
        <v>112.76</v>
      </c>
      <c r="W12" s="32" t="n">
        <v>112.76</v>
      </c>
      <c r="X12" s="32" t="n">
        <v>51.26</v>
      </c>
      <c r="Y12" s="32" t="n">
        <v>51.26</v>
      </c>
      <c r="Z12" s="32" t="n">
        <v>0</v>
      </c>
      <c r="AA12" s="32" t="n">
        <v>112.76</v>
      </c>
      <c r="AB12" s="32" t="n"/>
      <c r="AC12" s="33">
        <f>SUM(M12:AB12)</f>
        <v/>
      </c>
      <c r="AD12" s="115" t="n"/>
      <c r="AE12" s="115" t="n"/>
      <c r="AF12" s="115" t="n"/>
      <c r="AG12" s="115" t="n"/>
      <c r="AH12" s="115" t="n"/>
      <c r="AI12" s="115" t="n"/>
      <c r="AJ12" s="115" t="n"/>
      <c r="AK12" s="115" t="n"/>
      <c r="AL12" s="115" t="n"/>
      <c r="AM12" s="115" t="n"/>
      <c r="AN12" s="115" t="n"/>
      <c r="AO12" s="115" t="n"/>
    </row>
    <row r="13" ht="21" customFormat="1" customHeight="1" s="116">
      <c r="A13" s="83" t="inlineStr">
        <is>
          <t>FRANCA</t>
        </is>
      </c>
      <c r="B13" s="120" t="inlineStr">
        <is>
          <t>CHAPA_43</t>
        </is>
      </c>
      <c r="C13" s="118">
        <f>AC13</f>
        <v/>
      </c>
      <c r="D13" s="118">
        <f>C13*0.1818</f>
        <v/>
      </c>
      <c r="E13" s="118">
        <f>SUM(C13:D13)</f>
        <v/>
      </c>
      <c r="F13" s="118">
        <f>E13*0.1111</f>
        <v/>
      </c>
      <c r="G13" s="118">
        <f>E13*0.083</f>
        <v/>
      </c>
      <c r="H13" s="118">
        <f>SUM(E13:G13)*0.08</f>
        <v/>
      </c>
      <c r="I13" s="118">
        <f>IF(E13&lt;=$F$67,E13*$G$67,IF(E13&lt;=$F$68,E13*$G$68,IF(E13&lt;=$F$69,E13*$G$69,513.0125)))</f>
        <v/>
      </c>
      <c r="J13" s="22" t="n"/>
      <c r="K13" s="114" t="n"/>
      <c r="L13" s="114" t="n"/>
      <c r="M13" s="32" t="n">
        <v>112.76</v>
      </c>
      <c r="N13" s="32" t="n">
        <v>112.76</v>
      </c>
      <c r="O13" s="32" t="n">
        <v>112.76</v>
      </c>
      <c r="P13" s="32" t="n">
        <v>0</v>
      </c>
      <c r="Q13" s="32" t="n">
        <v>112.76</v>
      </c>
      <c r="R13" s="32" t="n">
        <v>51.25</v>
      </c>
      <c r="S13" s="32" t="n">
        <v>0</v>
      </c>
      <c r="T13" s="32" t="n">
        <v>117.72</v>
      </c>
      <c r="U13" s="32" t="n">
        <v>112.76</v>
      </c>
      <c r="V13" s="32" t="n">
        <v>112.76</v>
      </c>
      <c r="W13" s="32" t="n">
        <v>112.76</v>
      </c>
      <c r="X13" s="32" t="n">
        <v>112.76</v>
      </c>
      <c r="Y13" s="32" t="n">
        <v>185.79</v>
      </c>
      <c r="Z13" s="32" t="n">
        <v>0</v>
      </c>
      <c r="AA13" s="32" t="n">
        <v>51.25</v>
      </c>
      <c r="AB13" s="32" t="n"/>
      <c r="AC13" s="33">
        <f>SUM(M13:AB13)</f>
        <v/>
      </c>
      <c r="AD13" s="115" t="n"/>
      <c r="AE13" s="115" t="n"/>
      <c r="AF13" s="115" t="n"/>
      <c r="AG13" s="115" t="n"/>
      <c r="AH13" s="115" t="n"/>
      <c r="AI13" s="115" t="n"/>
      <c r="AJ13" s="115" t="n"/>
      <c r="AK13" s="115" t="n"/>
      <c r="AL13" s="115" t="n"/>
      <c r="AM13" s="115" t="n"/>
      <c r="AN13" s="115" t="n"/>
      <c r="AO13" s="115" t="n"/>
    </row>
    <row r="14" ht="21" customFormat="1" customHeight="1" s="116">
      <c r="A14" s="83" t="inlineStr">
        <is>
          <t>FRANCA</t>
        </is>
      </c>
      <c r="B14" s="117" t="inlineStr">
        <is>
          <t>CHAPA_46</t>
        </is>
      </c>
      <c r="C14" s="118">
        <f>AC14</f>
        <v/>
      </c>
      <c r="D14" s="118">
        <f>C14*0.1818</f>
        <v/>
      </c>
      <c r="E14" s="118">
        <f>SUM(C14:D14)</f>
        <v/>
      </c>
      <c r="F14" s="118">
        <f>E14*0.1111</f>
        <v/>
      </c>
      <c r="G14" s="118">
        <f>E14*0.083</f>
        <v/>
      </c>
      <c r="H14" s="118">
        <f>SUM(E14:G14)*0.08</f>
        <v/>
      </c>
      <c r="I14" s="118">
        <f>IF(E14&lt;=$F$67,E14*$G$67,IF(E14&lt;=$F$68,E14*$G$68,IF(E14&lt;=$F$69,E14*$G$69,513.0125)))</f>
        <v/>
      </c>
      <c r="J14" s="22" t="n"/>
      <c r="K14" s="114" t="n"/>
      <c r="L14" s="114" t="n"/>
      <c r="M14" s="32" t="n">
        <v>112.76</v>
      </c>
      <c r="N14" s="32" t="n">
        <v>112.76</v>
      </c>
      <c r="O14" s="32" t="n">
        <v>112.76</v>
      </c>
      <c r="P14" s="32" t="n">
        <v>0</v>
      </c>
      <c r="Q14" s="32" t="n">
        <v>112.76</v>
      </c>
      <c r="R14" s="32" t="n">
        <v>51.25</v>
      </c>
      <c r="S14" s="32" t="n">
        <v>0</v>
      </c>
      <c r="T14" s="32" t="n">
        <v>117.72</v>
      </c>
      <c r="U14" s="32" t="n">
        <v>112.76</v>
      </c>
      <c r="V14" s="32" t="n">
        <v>112.76</v>
      </c>
      <c r="W14" s="32" t="n">
        <v>112.76</v>
      </c>
      <c r="X14" s="32" t="n">
        <v>112.77</v>
      </c>
      <c r="Y14" s="32" t="n">
        <v>51.26</v>
      </c>
      <c r="Z14" s="32" t="n">
        <v>0</v>
      </c>
      <c r="AA14" s="32" t="n">
        <v>112.76</v>
      </c>
      <c r="AB14" s="32" t="n"/>
      <c r="AC14" s="33">
        <f>SUM(M14:AB14)</f>
        <v/>
      </c>
      <c r="AD14" s="115" t="n"/>
      <c r="AE14" s="115" t="n"/>
      <c r="AF14" s="115" t="n"/>
      <c r="AG14" s="115" t="n"/>
      <c r="AH14" s="115" t="n"/>
      <c r="AI14" s="115" t="n"/>
      <c r="AJ14" s="115" t="n"/>
      <c r="AK14" s="115" t="n"/>
      <c r="AL14" s="115" t="n"/>
      <c r="AM14" s="115" t="n"/>
      <c r="AN14" s="115" t="n"/>
      <c r="AO14" s="115" t="n"/>
    </row>
    <row r="15" ht="21" customFormat="1" customHeight="1" s="116">
      <c r="A15" s="83" t="inlineStr">
        <is>
          <t>FRANCA</t>
        </is>
      </c>
      <c r="B15" s="120" t="n"/>
      <c r="C15" s="118">
        <f>AC15</f>
        <v/>
      </c>
      <c r="D15" s="118">
        <f>C15*0.1818</f>
        <v/>
      </c>
      <c r="E15" s="118">
        <f>SUM(C15:D15)</f>
        <v/>
      </c>
      <c r="F15" s="118">
        <f>E15*0.1111</f>
        <v/>
      </c>
      <c r="G15" s="118">
        <f>E15*0.083</f>
        <v/>
      </c>
      <c r="H15" s="118">
        <f>SUM(E15:G15)*0.08</f>
        <v/>
      </c>
      <c r="I15" s="118">
        <f>IF(E15&lt;=$F$67,E15*$G$67,IF(E15&lt;=$F$68,E15*$G$68,IF(E15&lt;=$F$69,E15*$G$69,513.0125)))</f>
        <v/>
      </c>
      <c r="J15" s="22" t="n"/>
      <c r="K15" s="114" t="n"/>
      <c r="L15" s="114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3">
        <f>SUM(M15:AB15)</f>
        <v/>
      </c>
      <c r="AD15" s="115" t="n"/>
      <c r="AE15" s="115" t="n"/>
      <c r="AF15" s="115" t="n"/>
      <c r="AG15" s="115" t="n"/>
      <c r="AH15" s="115" t="n"/>
      <c r="AI15" s="115" t="n"/>
      <c r="AJ15" s="115" t="n"/>
      <c r="AK15" s="115" t="n"/>
      <c r="AL15" s="115" t="n"/>
      <c r="AM15" s="115" t="n"/>
      <c r="AN15" s="115" t="n"/>
      <c r="AO15" s="115" t="n"/>
    </row>
    <row r="16" ht="21" customFormat="1" customHeight="1" s="116">
      <c r="A16" s="83" t="inlineStr">
        <is>
          <t>FRANCA</t>
        </is>
      </c>
      <c r="B16" s="117" t="n"/>
      <c r="C16" s="118">
        <f>AC16</f>
        <v/>
      </c>
      <c r="D16" s="118">
        <f>C16*0.1818</f>
        <v/>
      </c>
      <c r="E16" s="118">
        <f>SUM(C16:D16)</f>
        <v/>
      </c>
      <c r="F16" s="118">
        <f>E16*0.1111</f>
        <v/>
      </c>
      <c r="G16" s="118">
        <f>E16*0.083</f>
        <v/>
      </c>
      <c r="H16" s="118">
        <f>SUM(E16:G16)*0.08</f>
        <v/>
      </c>
      <c r="I16" s="118">
        <f>IF(E16&lt;=$F$67,E16*$G$67,IF(E16&lt;=$F$68,E16*$G$68,IF(E16&lt;=$F$69,E16*$G$69,513.0125)))</f>
        <v/>
      </c>
      <c r="J16" s="22" t="n"/>
      <c r="K16" s="114" t="n"/>
      <c r="L16" s="114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3">
        <f>SUM(M16:AB16)</f>
        <v/>
      </c>
      <c r="AD16" s="115" t="n"/>
      <c r="AE16" s="115" t="n"/>
      <c r="AF16" s="115" t="n"/>
      <c r="AG16" s="115" t="n"/>
      <c r="AH16" s="115" t="n"/>
      <c r="AI16" s="115" t="n"/>
      <c r="AJ16" s="115" t="n"/>
      <c r="AK16" s="115" t="n"/>
      <c r="AL16" s="115" t="n"/>
      <c r="AM16" s="115" t="n"/>
      <c r="AN16" s="115" t="n"/>
      <c r="AO16" s="115" t="n"/>
    </row>
    <row r="17" ht="21" customFormat="1" customHeight="1" s="116">
      <c r="A17" s="83" t="inlineStr">
        <is>
          <t>FRANCA</t>
        </is>
      </c>
      <c r="B17" s="123" t="n"/>
      <c r="C17" s="118">
        <f>AC17</f>
        <v/>
      </c>
      <c r="D17" s="118">
        <f>C17*0.1818</f>
        <v/>
      </c>
      <c r="E17" s="118">
        <f>SUM(C17:D17)</f>
        <v/>
      </c>
      <c r="F17" s="118">
        <f>E17*0.1111</f>
        <v/>
      </c>
      <c r="G17" s="118">
        <f>E17*0.083</f>
        <v/>
      </c>
      <c r="H17" s="118">
        <f>SUM(E17:G17)*0.08</f>
        <v/>
      </c>
      <c r="I17" s="118">
        <f>IF(E17&lt;=$F$67,E17*$G$67,IF(E17&lt;=$F$68,E17*$G$68,IF(E17&lt;=$F$69,E17*$G$69,513.0125)))</f>
        <v/>
      </c>
      <c r="J17" s="22" t="n"/>
      <c r="K17" s="114" t="n"/>
      <c r="L17" s="114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SUM(M17:AB17)</f>
        <v/>
      </c>
      <c r="AD17" s="115" t="n"/>
      <c r="AE17" s="115" t="n"/>
      <c r="AF17" s="115" t="n"/>
      <c r="AG17" s="115" t="n"/>
      <c r="AH17" s="115" t="n"/>
      <c r="AI17" s="115" t="n"/>
      <c r="AJ17" s="115" t="n"/>
      <c r="AK17" s="115" t="n"/>
      <c r="AL17" s="115" t="n"/>
      <c r="AM17" s="115" t="n"/>
      <c r="AN17" s="115" t="n"/>
      <c r="AO17" s="115" t="n"/>
    </row>
    <row r="18" ht="21" customFormat="1" customHeight="1" s="116">
      <c r="A18" s="83" t="inlineStr">
        <is>
          <t>FRANCA</t>
        </is>
      </c>
      <c r="B18" s="123" t="n"/>
      <c r="C18" s="118">
        <f>AC18</f>
        <v/>
      </c>
      <c r="D18" s="118">
        <f>C18*0.1818</f>
        <v/>
      </c>
      <c r="E18" s="118">
        <f>SUM(C18:D18)</f>
        <v/>
      </c>
      <c r="F18" s="118">
        <f>E18*0.1111</f>
        <v/>
      </c>
      <c r="G18" s="118">
        <f>E18*0.083</f>
        <v/>
      </c>
      <c r="H18" s="118">
        <f>SUM(E18:G18)*0.08</f>
        <v/>
      </c>
      <c r="I18" s="118">
        <f>IF(E18&lt;=$F$67,E18*$G$67,IF(E18&lt;=$F$68,E18*$G$68,IF(E18&lt;=$F$69,E18*$G$69,513.0125)))</f>
        <v/>
      </c>
      <c r="J18" s="22" t="n"/>
      <c r="K18" s="114" t="n"/>
      <c r="L18" s="114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SUM(M18:AB18)</f>
        <v/>
      </c>
      <c r="AD18" s="115" t="n"/>
      <c r="AE18" s="115" t="n"/>
      <c r="AF18" s="115" t="n"/>
      <c r="AG18" s="115" t="n"/>
      <c r="AH18" s="115" t="n"/>
      <c r="AI18" s="115" t="n"/>
      <c r="AJ18" s="115" t="n"/>
      <c r="AK18" s="115" t="n"/>
      <c r="AL18" s="115" t="n"/>
      <c r="AM18" s="115" t="n"/>
      <c r="AN18" s="115" t="n"/>
      <c r="AO18" s="115" t="n"/>
    </row>
    <row r="19" ht="21" customFormat="1" customHeight="1" s="116">
      <c r="A19" s="83" t="inlineStr">
        <is>
          <t>FRANCA</t>
        </is>
      </c>
      <c r="B19" s="120" t="n"/>
      <c r="C19" s="118">
        <f>AC19</f>
        <v/>
      </c>
      <c r="D19" s="118">
        <f>C19*0.1818</f>
        <v/>
      </c>
      <c r="E19" s="118">
        <f>SUM(C19:D19)</f>
        <v/>
      </c>
      <c r="F19" s="118">
        <f>E19*0.1111</f>
        <v/>
      </c>
      <c r="G19" s="118">
        <f>E19*0.083</f>
        <v/>
      </c>
      <c r="H19" s="118">
        <f>SUM(E19:G19)*0.08</f>
        <v/>
      </c>
      <c r="I19" s="118">
        <f>IF(E19&lt;=$F$67,E19*$G$67,IF(E19&lt;=$F$68,E19*$G$68,IF(E19&lt;=$F$69,E19*$G$69,513.0125)))</f>
        <v/>
      </c>
      <c r="J19" s="22" t="n"/>
      <c r="K19" s="114" t="n"/>
      <c r="L19" s="114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SUM(M19:AB19)</f>
        <v/>
      </c>
      <c r="AD19" s="115" t="n"/>
      <c r="AE19" s="115" t="n"/>
      <c r="AF19" s="115" t="n"/>
      <c r="AG19" s="115" t="n"/>
      <c r="AH19" s="115" t="n"/>
      <c r="AI19" s="115" t="n"/>
      <c r="AJ19" s="115" t="n"/>
      <c r="AK19" s="115" t="n"/>
      <c r="AL19" s="115" t="n"/>
      <c r="AM19" s="115" t="n"/>
      <c r="AN19" s="115" t="n"/>
      <c r="AO19" s="115" t="n"/>
    </row>
    <row r="20" ht="21" customFormat="1" customHeight="1" s="116">
      <c r="A20" s="83" t="inlineStr">
        <is>
          <t>FRANCA</t>
        </is>
      </c>
      <c r="B20" s="120" t="n"/>
      <c r="C20" s="118">
        <f>AC20</f>
        <v/>
      </c>
      <c r="D20" s="118">
        <f>C20*0.1818</f>
        <v/>
      </c>
      <c r="E20" s="118">
        <f>SUM(C20:D20)</f>
        <v/>
      </c>
      <c r="F20" s="118">
        <f>E20*0.1111</f>
        <v/>
      </c>
      <c r="G20" s="118">
        <f>E20*0.083</f>
        <v/>
      </c>
      <c r="H20" s="118">
        <f>SUM(E20:G20)*0.08</f>
        <v/>
      </c>
      <c r="I20" s="118">
        <f>IF(E20&lt;=$F$67,E20*$G$67,IF(E20&lt;=$F$68,E20*$G$68,IF(E20&lt;=$F$69,E20*$G$69,513.0125)))</f>
        <v/>
      </c>
      <c r="J20" s="22" t="n"/>
      <c r="K20" s="114" t="n"/>
      <c r="L20" s="114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SUM(M20:AB20)</f>
        <v/>
      </c>
      <c r="AD20" s="115" t="n"/>
      <c r="AE20" s="115" t="n"/>
      <c r="AF20" s="115" t="n"/>
      <c r="AG20" s="115" t="n"/>
      <c r="AH20" s="115" t="n"/>
      <c r="AI20" s="115" t="n"/>
      <c r="AJ20" s="115" t="n"/>
      <c r="AK20" s="115" t="n"/>
      <c r="AL20" s="115" t="n"/>
      <c r="AM20" s="115" t="n"/>
      <c r="AN20" s="115" t="n"/>
      <c r="AO20" s="115" t="n"/>
    </row>
    <row r="21" ht="21" customFormat="1" customHeight="1" s="116">
      <c r="A21" s="83" t="inlineStr">
        <is>
          <t>FRANCA</t>
        </is>
      </c>
      <c r="B21" s="122" t="n"/>
      <c r="C21" s="118">
        <f>AC21</f>
        <v/>
      </c>
      <c r="D21" s="118">
        <f>C21*0.1818</f>
        <v/>
      </c>
      <c r="E21" s="118">
        <f>SUM(C21:D21)</f>
        <v/>
      </c>
      <c r="F21" s="118">
        <f>E21*0.1111</f>
        <v/>
      </c>
      <c r="G21" s="118">
        <f>E21*0.083</f>
        <v/>
      </c>
      <c r="H21" s="118">
        <f>SUM(E21:G21)*0.08</f>
        <v/>
      </c>
      <c r="I21" s="118">
        <f>IF(E21&lt;=$F$67,E21*$G$67,IF(E21&lt;=$F$68,E21*$G$68,IF(E21&lt;=$F$69,E21*$G$69,513.0125)))</f>
        <v/>
      </c>
      <c r="J21" s="22" t="n"/>
      <c r="K21" s="114" t="n"/>
      <c r="L21" s="114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SUM(M21:AB21)</f>
        <v/>
      </c>
      <c r="AD21" s="115" t="n"/>
      <c r="AE21" s="115" t="n"/>
      <c r="AF21" s="115" t="n"/>
      <c r="AG21" s="115" t="n"/>
      <c r="AH21" s="115" t="n"/>
      <c r="AI21" s="115" t="n"/>
      <c r="AJ21" s="115" t="n"/>
      <c r="AK21" s="115" t="n"/>
      <c r="AL21" s="115" t="n"/>
      <c r="AM21" s="115" t="n"/>
      <c r="AN21" s="115" t="n"/>
      <c r="AO21" s="115" t="n"/>
    </row>
    <row r="22" ht="21" customFormat="1" customHeight="1" s="116">
      <c r="A22" s="83" t="inlineStr">
        <is>
          <t>FRANCA</t>
        </is>
      </c>
      <c r="B22" s="122" t="n"/>
      <c r="C22" s="118">
        <f>AC22</f>
        <v/>
      </c>
      <c r="D22" s="118">
        <f>C22*0.1818</f>
        <v/>
      </c>
      <c r="E22" s="118">
        <f>SUM(C22:D22)</f>
        <v/>
      </c>
      <c r="F22" s="118">
        <f>E22*0.1111</f>
        <v/>
      </c>
      <c r="G22" s="118">
        <f>E22*0.083</f>
        <v/>
      </c>
      <c r="H22" s="118">
        <f>SUM(E22:G22)*0.08</f>
        <v/>
      </c>
      <c r="I22" s="118">
        <f>IF(E22&lt;=$F$67,E22*$G$67,IF(E22&lt;=$F$68,E22*$G$68,IF(E22&lt;=$F$69,E22*$G$69,513.0125)))</f>
        <v/>
      </c>
      <c r="J22" s="22" t="n"/>
      <c r="K22" s="114" t="n"/>
      <c r="L22" s="114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SUM(M22:AB22)</f>
        <v/>
      </c>
      <c r="AD22" s="115" t="n"/>
      <c r="AE22" s="115" t="n"/>
      <c r="AF22" s="115" t="n"/>
      <c r="AG22" s="115" t="n"/>
      <c r="AH22" s="115" t="n"/>
      <c r="AI22" s="115" t="n"/>
      <c r="AJ22" s="115" t="n"/>
      <c r="AK22" s="115" t="n"/>
      <c r="AL22" s="115" t="n"/>
      <c r="AM22" s="115" t="n"/>
      <c r="AN22" s="115" t="n"/>
      <c r="AO22" s="115" t="n"/>
    </row>
    <row r="23" ht="21" customFormat="1" customHeight="1" s="116">
      <c r="A23" s="83" t="inlineStr">
        <is>
          <t>FRANCA</t>
        </is>
      </c>
      <c r="B23" s="122" t="n"/>
      <c r="C23" s="118">
        <f>AC23</f>
        <v/>
      </c>
      <c r="D23" s="118">
        <f>C23*0.1818</f>
        <v/>
      </c>
      <c r="E23" s="118">
        <f>SUM(C23:D23)</f>
        <v/>
      </c>
      <c r="F23" s="118">
        <f>E23*0.1111</f>
        <v/>
      </c>
      <c r="G23" s="118">
        <f>E23*0.083</f>
        <v/>
      </c>
      <c r="H23" s="118">
        <f>SUM(E23:G23)*0.08</f>
        <v/>
      </c>
      <c r="I23" s="118">
        <f>IF(E23&lt;=$F$67,E23*$G$67,IF(E23&lt;=$F$68,E23*$G$68,IF(E23&lt;=$F$69,E23*$G$69,513.0125)))</f>
        <v/>
      </c>
      <c r="J23" s="22" t="n"/>
      <c r="K23" s="114" t="n"/>
      <c r="L23" s="114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SUM(M23:AB23)</f>
        <v/>
      </c>
      <c r="AD23" s="115" t="n"/>
      <c r="AE23" s="115" t="n"/>
      <c r="AF23" s="115" t="n"/>
      <c r="AG23" s="115" t="n"/>
      <c r="AH23" s="115" t="n"/>
      <c r="AI23" s="115" t="n"/>
      <c r="AJ23" s="115" t="n"/>
      <c r="AK23" s="115" t="n"/>
      <c r="AL23" s="115" t="n"/>
      <c r="AM23" s="115" t="n"/>
      <c r="AN23" s="115" t="n"/>
      <c r="AO23" s="115" t="n"/>
    </row>
    <row r="24" ht="21" customFormat="1" customHeight="1" s="116">
      <c r="A24" s="83" t="inlineStr">
        <is>
          <t>FRANCA</t>
        </is>
      </c>
      <c r="B24" s="124" t="n"/>
      <c r="C24" s="118">
        <f>AC24</f>
        <v/>
      </c>
      <c r="D24" s="118">
        <f>C24*0.1818</f>
        <v/>
      </c>
      <c r="E24" s="118">
        <f>SUM(C24:D24)</f>
        <v/>
      </c>
      <c r="F24" s="118">
        <f>E24*0.1111</f>
        <v/>
      </c>
      <c r="G24" s="118">
        <f>E24*0.083</f>
        <v/>
      </c>
      <c r="H24" s="118">
        <f>SUM(E24:G24)*0.08</f>
        <v/>
      </c>
      <c r="I24" s="118">
        <f>IF(E24&lt;=$F$67,E24*$G$67,IF(E24&lt;=$F$68,E24*$G$68,IF(E24&lt;=$F$69,E24*$G$69,513.0125)))</f>
        <v/>
      </c>
      <c r="J24" s="22" t="n"/>
      <c r="K24" s="114" t="n"/>
      <c r="L24" s="114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SUM(M24:AB24)</f>
        <v/>
      </c>
      <c r="AD24" s="115" t="n"/>
      <c r="AE24" s="115" t="n"/>
      <c r="AF24" s="115" t="n"/>
      <c r="AG24" s="115" t="n"/>
      <c r="AH24" s="115" t="n"/>
      <c r="AI24" s="115" t="n"/>
      <c r="AJ24" s="115" t="n"/>
      <c r="AK24" s="115" t="n"/>
      <c r="AL24" s="115" t="n"/>
      <c r="AM24" s="115" t="n"/>
      <c r="AN24" s="115" t="n"/>
      <c r="AO24" s="115" t="n"/>
    </row>
    <row r="25" ht="21" customFormat="1" customHeight="1" s="116">
      <c r="A25" s="83" t="inlineStr">
        <is>
          <t>FRANCA</t>
        </is>
      </c>
      <c r="B25" s="122" t="n"/>
      <c r="C25" s="118">
        <f>AC25</f>
        <v/>
      </c>
      <c r="D25" s="118">
        <f>C25*0.1818</f>
        <v/>
      </c>
      <c r="E25" s="118">
        <f>SUM(C25:D25)</f>
        <v/>
      </c>
      <c r="F25" s="118">
        <f>E25*0.1111</f>
        <v/>
      </c>
      <c r="G25" s="118">
        <f>E25*0.083</f>
        <v/>
      </c>
      <c r="H25" s="118">
        <f>SUM(E25:G25)*0.08</f>
        <v/>
      </c>
      <c r="I25" s="118">
        <f>IF(E25&lt;=$F$67,E25*$G$67,IF(E25&lt;=$F$68,E25*$G$68,IF(E25&lt;=$F$69,E25*$G$69,513.0125)))</f>
        <v/>
      </c>
      <c r="J25" s="22" t="n"/>
      <c r="K25" s="114" t="n"/>
      <c r="L25" s="114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SUM(M25:AB25)</f>
        <v/>
      </c>
      <c r="AD25" s="115" t="n"/>
      <c r="AE25" s="115" t="n"/>
      <c r="AF25" s="115" t="n"/>
      <c r="AG25" s="115" t="n"/>
      <c r="AH25" s="115" t="n"/>
      <c r="AI25" s="115" t="n"/>
      <c r="AJ25" s="115" t="n"/>
      <c r="AK25" s="115" t="n"/>
      <c r="AL25" s="115" t="n"/>
      <c r="AM25" s="115" t="n"/>
      <c r="AN25" s="115" t="n"/>
      <c r="AO25" s="115" t="n"/>
    </row>
    <row r="26" ht="21" customFormat="1" customHeight="1" s="116">
      <c r="A26" s="83" t="n"/>
      <c r="B26" s="122" t="n"/>
      <c r="C26" s="118">
        <f>AC26</f>
        <v/>
      </c>
      <c r="D26" s="118">
        <f>C26*0.1818</f>
        <v/>
      </c>
      <c r="E26" s="118">
        <f>SUM(C26:D26)</f>
        <v/>
      </c>
      <c r="F26" s="118">
        <f>E26*0.1111</f>
        <v/>
      </c>
      <c r="G26" s="118">
        <f>E26*0.083</f>
        <v/>
      </c>
      <c r="H26" s="118">
        <f>SUM(E26:G26)*0.08</f>
        <v/>
      </c>
      <c r="I26" s="118">
        <f>IF(E26&lt;=$F$67,E26*$G$67,IF(E26&lt;=$F$68,E26*$G$68,IF(E26&lt;=$F$69,E26*$G$69,513.0125)))</f>
        <v/>
      </c>
      <c r="J26" s="22" t="n"/>
      <c r="K26" s="114" t="n"/>
      <c r="L26" s="114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SUM(M26:AB26)</f>
        <v/>
      </c>
      <c r="AD26" s="115" t="n"/>
      <c r="AE26" s="115" t="n"/>
      <c r="AF26" s="115" t="n"/>
      <c r="AG26" s="115" t="n"/>
      <c r="AH26" s="115" t="n"/>
      <c r="AI26" s="115" t="n"/>
      <c r="AJ26" s="115" t="n"/>
      <c r="AK26" s="115" t="n"/>
      <c r="AL26" s="115" t="n"/>
      <c r="AM26" s="115" t="n"/>
      <c r="AN26" s="115" t="n"/>
      <c r="AO26" s="115" t="n"/>
    </row>
    <row r="27" ht="21" customFormat="1" customHeight="1" s="116" thickBot="1">
      <c r="A27" s="114" t="n"/>
      <c r="B27" s="112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25">
        <f>COUNT(M26:M26)</f>
        <v/>
      </c>
      <c r="N27" s="125">
        <f>COUNT(N26:N26)</f>
        <v/>
      </c>
      <c r="O27" s="125">
        <f>COUNT(O26:O26)</f>
        <v/>
      </c>
      <c r="P27" s="125">
        <f>COUNT(P26:P26)</f>
        <v/>
      </c>
      <c r="Q27" s="125">
        <f>COUNT(Q26:Q26)</f>
        <v/>
      </c>
      <c r="R27" s="125" t="n"/>
      <c r="S27" s="125">
        <f>COUNT(S26:S26)</f>
        <v/>
      </c>
      <c r="T27" s="125">
        <f>COUNT(T26:T26)</f>
        <v/>
      </c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14" t="n"/>
      <c r="AD27" s="115" t="n"/>
      <c r="AE27" s="115" t="n"/>
      <c r="AF27" s="115" t="n"/>
      <c r="AG27" s="115" t="n"/>
      <c r="AH27" s="115" t="n"/>
      <c r="AI27" s="115" t="n"/>
      <c r="AJ27" s="115" t="n"/>
      <c r="AK27" s="115" t="n"/>
      <c r="AL27" s="115" t="n"/>
      <c r="AM27" s="115" t="n"/>
      <c r="AN27" s="115" t="n"/>
      <c r="AO27" s="115" t="n"/>
    </row>
    <row r="28" ht="21" customFormat="1" customHeight="1" s="116">
      <c r="J28" s="114" t="n"/>
      <c r="K28" s="114" t="n"/>
      <c r="L28" s="114" t="n"/>
      <c r="M28" s="165" t="inlineStr">
        <is>
          <t>TOTAL GERAL / BOLETIM ENSACADORES:</t>
        </is>
      </c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  <c r="AA28" s="166" t="n"/>
      <c r="AB28" s="166" t="n"/>
      <c r="AC28" s="167" t="n"/>
      <c r="AD28" s="129" t="inlineStr">
        <is>
          <t>TOTAL:</t>
        </is>
      </c>
      <c r="AE28" s="115" t="n"/>
      <c r="AF28" s="115" t="n"/>
      <c r="AG28" s="115" t="n"/>
      <c r="AH28" s="115" t="n"/>
      <c r="AI28" s="115" t="n"/>
      <c r="AJ28" s="115" t="n"/>
      <c r="AK28" s="115" t="n"/>
      <c r="AL28" s="115" t="n"/>
      <c r="AM28" s="115" t="n"/>
      <c r="AN28" s="115" t="n"/>
      <c r="AO28" s="115" t="n"/>
      <c r="AP28" s="115" t="n"/>
    </row>
    <row r="29" ht="21" customFormat="1" customHeight="1" s="116">
      <c r="J29" s="114" t="n"/>
      <c r="K29" s="114" t="n"/>
      <c r="L29" s="114" t="n"/>
      <c r="M29" s="130">
        <f>SUM(M6:M26)</f>
        <v/>
      </c>
      <c r="N29" s="130">
        <f>SUM(N6:N26)</f>
        <v/>
      </c>
      <c r="O29" s="130">
        <f>SUM(O6:O26)</f>
        <v/>
      </c>
      <c r="P29" s="130">
        <f>SUM(P6:P26)</f>
        <v/>
      </c>
      <c r="Q29" s="130">
        <f>SUM(Q6:Q26)</f>
        <v/>
      </c>
      <c r="R29" s="130">
        <f>SUM(R6:R26)</f>
        <v/>
      </c>
      <c r="S29" s="130">
        <f>SUM(S6:S26)</f>
        <v/>
      </c>
      <c r="T29" s="130">
        <f>SUM(T6:T26)</f>
        <v/>
      </c>
      <c r="U29" s="130">
        <f>SUM(U6:U26)</f>
        <v/>
      </c>
      <c r="V29" s="130">
        <f>SUM(V6:V26)</f>
        <v/>
      </c>
      <c r="W29" s="130">
        <f>SUM(W6:W26)</f>
        <v/>
      </c>
      <c r="X29" s="130">
        <f>SUM(X6:X26)</f>
        <v/>
      </c>
      <c r="Y29" s="130">
        <f>SUM(Y6:Y26)</f>
        <v/>
      </c>
      <c r="Z29" s="130">
        <f>SUM(Z6:Z26)</f>
        <v/>
      </c>
      <c r="AA29" s="130">
        <f>SUM(AA6:AA26)</f>
        <v/>
      </c>
      <c r="AB29" s="131" t="n"/>
      <c r="AC29" s="131" t="n"/>
      <c r="AD29" s="132">
        <f>SUM(M29:AB29)</f>
        <v/>
      </c>
      <c r="AE29" s="115" t="n"/>
      <c r="AF29" s="115" t="n"/>
      <c r="AG29" s="115" t="n"/>
      <c r="AH29" s="115" t="n"/>
      <c r="AI29" s="115" t="n"/>
      <c r="AJ29" s="115" t="n"/>
      <c r="AK29" s="115" t="n"/>
      <c r="AL29" s="115" t="n"/>
      <c r="AM29" s="115" t="n"/>
      <c r="AN29" s="115" t="n"/>
      <c r="AO29" s="115" t="n"/>
      <c r="AP29" s="115" t="n"/>
    </row>
    <row r="30" ht="21" customFormat="1" customHeight="1" s="116" thickBot="1">
      <c r="J30" s="114" t="n"/>
      <c r="K30" s="114" t="n"/>
      <c r="L30" s="114" t="n"/>
      <c r="AE30" s="115" t="n"/>
      <c r="AF30" s="115" t="n"/>
      <c r="AG30" s="115" t="n"/>
      <c r="AH30" s="115" t="n"/>
      <c r="AI30" s="115" t="n"/>
      <c r="AJ30" s="115" t="n"/>
      <c r="AK30" s="115" t="n"/>
      <c r="AL30" s="115" t="n"/>
      <c r="AM30" s="115" t="n"/>
      <c r="AN30" s="115" t="n"/>
      <c r="AO30" s="115" t="n"/>
      <c r="AP30" s="115" t="n"/>
    </row>
    <row r="31" ht="21.6" customFormat="1" customHeight="1" s="116" thickBot="1">
      <c r="A31" s="133" t="inlineStr">
        <is>
          <t>MÉDIA DIÁRIA CHAPAS</t>
        </is>
      </c>
      <c r="B31" s="133" t="n"/>
      <c r="C31" s="134" t="n">
        <v>11</v>
      </c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AE31" s="115" t="n"/>
      <c r="AF31" s="115" t="n"/>
      <c r="AG31" s="115" t="n"/>
      <c r="AH31" s="115" t="n"/>
      <c r="AI31" s="115" t="n"/>
      <c r="AJ31" s="115" t="n"/>
      <c r="AK31" s="115" t="n"/>
      <c r="AL31" s="115" t="n"/>
      <c r="AM31" s="115" t="n"/>
      <c r="AN31" s="115" t="n"/>
      <c r="AO31" s="115" t="n"/>
      <c r="AP31" s="115" t="n"/>
    </row>
    <row r="32" ht="20.4" customFormat="1" customHeight="1" s="116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5" t="n"/>
      <c r="AF32" s="115" t="n"/>
      <c r="AG32" s="115" t="n"/>
      <c r="AH32" s="115" t="n"/>
      <c r="AI32" s="115" t="n"/>
      <c r="AJ32" s="115" t="n"/>
      <c r="AK32" s="115" t="n"/>
      <c r="AL32" s="115" t="n"/>
      <c r="AM32" s="115" t="n"/>
      <c r="AN32" s="115" t="n"/>
      <c r="AO32" s="115" t="n"/>
      <c r="AP32" s="115" t="n"/>
    </row>
    <row r="33" ht="21.6" customFormat="1" customHeight="1" s="116" thickBot="1">
      <c r="A33" s="60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5" t="n"/>
      <c r="AF33" s="115" t="n"/>
      <c r="AG33" s="115" t="n"/>
      <c r="AH33" s="115" t="n"/>
      <c r="AI33" s="115" t="n"/>
      <c r="AJ33" s="115" t="n"/>
      <c r="AK33" s="115" t="n"/>
      <c r="AL33" s="115" t="n"/>
      <c r="AM33" s="115" t="n"/>
      <c r="AN33" s="115" t="n"/>
      <c r="AO33" s="115" t="n"/>
      <c r="AP33" s="115" t="n"/>
    </row>
    <row r="34" ht="21" customFormat="1" customHeight="1" s="116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2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107" t="n"/>
      <c r="AF34" s="107" t="n"/>
      <c r="AG34" s="115" t="n"/>
      <c r="AH34" s="115" t="n"/>
      <c r="AI34" s="115" t="n"/>
      <c r="AJ34" s="115" t="n"/>
      <c r="AK34" s="115" t="n"/>
      <c r="AL34" s="115" t="n"/>
      <c r="AM34" s="115" t="n"/>
      <c r="AN34" s="115" t="n"/>
      <c r="AO34" s="115" t="n"/>
      <c r="AP34" s="115" t="n"/>
    </row>
    <row r="35" ht="21" customFormat="1" customHeight="1" s="116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103" t="n">
        <v>46189</v>
      </c>
      <c r="N35" s="103" t="n">
        <v>46190</v>
      </c>
      <c r="O35" s="103" t="n">
        <v>46191</v>
      </c>
      <c r="P35" s="103" t="n">
        <v>46192</v>
      </c>
      <c r="Q35" s="103" t="n">
        <v>46193</v>
      </c>
      <c r="R35" s="103" t="n">
        <v>46194</v>
      </c>
      <c r="S35" s="103" t="n">
        <v>46195</v>
      </c>
      <c r="T35" s="103" t="n">
        <v>46196</v>
      </c>
      <c r="U35" s="103" t="n">
        <v>46197</v>
      </c>
      <c r="V35" s="103" t="n">
        <v>46198</v>
      </c>
      <c r="W35" s="103" t="n">
        <v>46199</v>
      </c>
      <c r="X35" s="103" t="n">
        <v>46200</v>
      </c>
      <c r="Y35" s="103" t="n">
        <v>46201</v>
      </c>
      <c r="Z35" s="103" t="n">
        <v>46202</v>
      </c>
      <c r="AA35" s="103" t="n">
        <v>46203</v>
      </c>
      <c r="AB35" s="103" t="n"/>
      <c r="AC35" s="83" t="inlineStr">
        <is>
          <t>TOTAL</t>
        </is>
      </c>
      <c r="AD35" s="115" t="n"/>
      <c r="AE35" s="115" t="n"/>
      <c r="AF35" s="115" t="n"/>
      <c r="AG35" s="115" t="n"/>
      <c r="AH35" s="115" t="n"/>
      <c r="AI35" s="115" t="n"/>
      <c r="AJ35" s="115" t="n"/>
      <c r="AK35" s="115" t="n"/>
      <c r="AL35" s="115" t="n"/>
      <c r="AM35" s="115" t="n"/>
      <c r="AN35" s="115" t="n"/>
      <c r="AO35" s="115" t="n"/>
    </row>
    <row r="36" ht="21" customFormat="1" customHeight="1" s="116">
      <c r="A36" s="93" t="inlineStr">
        <is>
          <t>FRANCA</t>
        </is>
      </c>
      <c r="B36" s="117" t="inlineStr">
        <is>
          <t>CHAPA_06</t>
        </is>
      </c>
      <c r="C36" s="118">
        <f>AC36</f>
        <v/>
      </c>
      <c r="D36" s="118">
        <f>C36*0.1818</f>
        <v/>
      </c>
      <c r="E36" s="118">
        <f>SUM(C36:D36)</f>
        <v/>
      </c>
      <c r="F36" s="118">
        <f>E36*0.1111</f>
        <v/>
      </c>
      <c r="G36" s="118">
        <f>E36*0.083</f>
        <v/>
      </c>
      <c r="H36" s="118">
        <f>SUM(E36:G36)*0.08</f>
        <v/>
      </c>
      <c r="I36" s="118">
        <f>IF(E36&lt;=$F$67,E36*$G$67,IF(E36&lt;=$F$68,E36*$G$68,IF(E36&lt;=$F$69,E36*$G$69,513.0125)))</f>
        <v/>
      </c>
      <c r="J36" s="135">
        <f>IF(I5=0,0,VLOOKUP(#REF!,$B$6:$I$26,8,0))</f>
        <v/>
      </c>
      <c r="K36" s="136">
        <f>IF(E36+I36&lt;=$K$60,(E36+I36)*J70-J36,IF(E36+I36&lt;=$K$61,(E36+I36)*J71-J36,IF(E36+I36&lt;=$K$62,(E36+I36)*L72-J36,513.0125)))</f>
        <v/>
      </c>
      <c r="L36" s="22" t="n"/>
      <c r="M36" s="32" t="n">
        <v>112.76</v>
      </c>
      <c r="N36" s="32" t="n">
        <v>112.76</v>
      </c>
      <c r="O36" s="32" t="n">
        <v>134.87</v>
      </c>
      <c r="P36" s="32" t="n">
        <v>112.76</v>
      </c>
      <c r="Q36" s="32" t="n">
        <v>0</v>
      </c>
      <c r="R36" s="32" t="n">
        <v>0</v>
      </c>
      <c r="S36" s="32" t="n">
        <v>0</v>
      </c>
      <c r="T36" s="32" t="n">
        <v>112.76</v>
      </c>
      <c r="U36" s="32" t="n">
        <v>112.76</v>
      </c>
      <c r="V36" s="32" t="n">
        <v>112.76</v>
      </c>
      <c r="W36" s="32" t="n">
        <v>112.76</v>
      </c>
      <c r="X36" s="32" t="n">
        <v>51.25</v>
      </c>
      <c r="Y36" s="32" t="n">
        <v>0</v>
      </c>
      <c r="Z36" s="32" t="n">
        <v>70.48</v>
      </c>
      <c r="AA36" s="32" t="n">
        <v>112.76</v>
      </c>
      <c r="AB36" s="32" t="n"/>
      <c r="AC36" s="137">
        <f>SUM(M36:AB36)</f>
        <v/>
      </c>
      <c r="AD36" s="115" t="n"/>
      <c r="AE36" s="115" t="n"/>
      <c r="AF36" s="115" t="n"/>
      <c r="AG36" s="115" t="n"/>
      <c r="AH36" s="115" t="n"/>
      <c r="AI36" s="115" t="n"/>
      <c r="AJ36" s="115" t="n"/>
      <c r="AK36" s="115" t="n"/>
      <c r="AL36" s="115" t="n"/>
      <c r="AM36" s="115" t="n"/>
      <c r="AN36" s="115" t="n"/>
      <c r="AO36" s="115" t="n"/>
    </row>
    <row r="37" ht="21" customFormat="1" customHeight="1" s="116">
      <c r="A37" s="93" t="inlineStr">
        <is>
          <t>FRANCA</t>
        </is>
      </c>
      <c r="B37" s="117" t="inlineStr">
        <is>
          <t>CHAPA_14</t>
        </is>
      </c>
      <c r="C37" s="136">
        <f>AC37</f>
        <v/>
      </c>
      <c r="D37" s="136">
        <f>C37*0.1818</f>
        <v/>
      </c>
      <c r="E37" s="136">
        <f>SUM(C37:D37)</f>
        <v/>
      </c>
      <c r="F37" s="136">
        <f>E37*0.1111</f>
        <v/>
      </c>
      <c r="G37" s="136">
        <f>E37*0.083</f>
        <v/>
      </c>
      <c r="H37" s="136">
        <f>SUM(E37:G37)*0.08</f>
        <v/>
      </c>
      <c r="I37" s="135">
        <f>AC6</f>
        <v/>
      </c>
      <c r="J37" s="135">
        <f>IF(I6=0,0,VLOOKUP(#REF!,$B$6:$I$26,8,0))</f>
        <v/>
      </c>
      <c r="K37" s="136">
        <f>IF(E37+I37&lt;=$K$60,(E37+I37)*J71-J37,IF(E37+I37&lt;=$K$61,(E37+I37)*J72-J37,IF(E37+I37&lt;=$K$62,(E37+I37)*L73-J37,513.0125)))</f>
        <v/>
      </c>
      <c r="L37" s="22" t="n"/>
      <c r="M37" s="32" t="n">
        <v>102.51</v>
      </c>
      <c r="N37" s="32" t="n">
        <v>112.76</v>
      </c>
      <c r="O37" s="32" t="n">
        <v>134.88</v>
      </c>
      <c r="P37" s="32" t="n">
        <v>112.76</v>
      </c>
      <c r="Q37" s="32" t="n">
        <v>0</v>
      </c>
      <c r="R37" s="32" t="n">
        <v>0</v>
      </c>
      <c r="S37" s="32" t="n">
        <v>112.76</v>
      </c>
      <c r="T37" s="32" t="n">
        <v>112.76</v>
      </c>
      <c r="U37" s="32" t="n">
        <v>112.76</v>
      </c>
      <c r="V37" s="32" t="n">
        <v>112.76</v>
      </c>
      <c r="W37" s="32" t="n">
        <v>102.51</v>
      </c>
      <c r="X37" s="32" t="n">
        <v>51.25</v>
      </c>
      <c r="Y37" s="32" t="n">
        <v>0</v>
      </c>
      <c r="Z37" s="32" t="n">
        <v>0</v>
      </c>
      <c r="AA37" s="32" t="n">
        <v>112.76</v>
      </c>
      <c r="AB37" s="32" t="n"/>
      <c r="AC37" s="137">
        <f>SUM(M37:AB37)</f>
        <v/>
      </c>
      <c r="AD37" s="115" t="n"/>
      <c r="AE37" s="115" t="n"/>
      <c r="AF37" s="115" t="n"/>
      <c r="AG37" s="115" t="n"/>
      <c r="AH37" s="115" t="n"/>
      <c r="AI37" s="115" t="n"/>
      <c r="AJ37" s="115" t="n"/>
      <c r="AK37" s="115" t="n"/>
      <c r="AL37" s="115" t="n"/>
      <c r="AM37" s="115" t="n"/>
      <c r="AN37" s="115" t="n"/>
      <c r="AO37" s="115" t="n"/>
    </row>
    <row r="38" ht="21" customFormat="1" customHeight="1" s="116">
      <c r="A38" s="93" t="inlineStr">
        <is>
          <t>FRANCA</t>
        </is>
      </c>
      <c r="B38" s="120" t="inlineStr">
        <is>
          <t>CHAPA_15</t>
        </is>
      </c>
      <c r="C38" s="118">
        <f>AC38</f>
        <v/>
      </c>
      <c r="D38" s="118">
        <f>C38*0.1818</f>
        <v/>
      </c>
      <c r="E38" s="118">
        <f>SUM(C38:D38)</f>
        <v/>
      </c>
      <c r="F38" s="118">
        <f>E38*0.1111</f>
        <v/>
      </c>
      <c r="G38" s="118">
        <f>E38*0.083</f>
        <v/>
      </c>
      <c r="H38" s="118">
        <f>SUM(E38:G38)*0.08</f>
        <v/>
      </c>
      <c r="I38" s="118">
        <f>IF(E38&lt;=$F$67,E38*$G$67,IF(E38&lt;=$F$68,E38*$G$68,IF(E38&lt;=$F$69,E38*$G$69,513.0125)))</f>
        <v/>
      </c>
      <c r="J38" s="135">
        <f>IF(I7=0,0,VLOOKUP(#REF!,$B$6:$I$26,8,0))</f>
        <v/>
      </c>
      <c r="K38" s="136">
        <f>IF(E38+I38&lt;=$K$60,(E38+I38)*J72-J38,IF(E38+I38&lt;=$K$61,(E38+I38)*J73-J38,IF(E38+I38&lt;=$K$62,(E38+I38)*L74-J38,513.0125)))</f>
        <v/>
      </c>
      <c r="L38" s="22" t="n"/>
      <c r="M38" s="32" t="n">
        <v>112.76</v>
      </c>
      <c r="N38" s="32" t="n">
        <v>112.76</v>
      </c>
      <c r="O38" s="32" t="n">
        <v>134.88</v>
      </c>
      <c r="P38" s="32" t="n">
        <v>112.76</v>
      </c>
      <c r="Q38" s="32" t="n">
        <v>0</v>
      </c>
      <c r="R38" s="32" t="n">
        <v>0</v>
      </c>
      <c r="S38" s="32" t="n">
        <v>112.76</v>
      </c>
      <c r="T38" s="32" t="n">
        <v>112.76</v>
      </c>
      <c r="U38" s="32" t="n">
        <v>89.69</v>
      </c>
      <c r="V38" s="32" t="n">
        <v>112.76</v>
      </c>
      <c r="W38" s="32" t="n">
        <v>112.76</v>
      </c>
      <c r="X38" s="32" t="n">
        <v>0</v>
      </c>
      <c r="Y38" s="32" t="n">
        <v>0</v>
      </c>
      <c r="Z38" s="32" t="n">
        <v>51.26</v>
      </c>
      <c r="AA38" s="32" t="n">
        <v>112.76</v>
      </c>
      <c r="AB38" s="32" t="n"/>
      <c r="AC38" s="137">
        <f>SUM(M38:AB38)</f>
        <v/>
      </c>
      <c r="AD38" s="115" t="n"/>
      <c r="AE38" s="115" t="n"/>
      <c r="AF38" s="115" t="n"/>
      <c r="AG38" s="115" t="n"/>
      <c r="AH38" s="115" t="n"/>
      <c r="AI38" s="115" t="n"/>
      <c r="AJ38" s="115" t="n"/>
      <c r="AK38" s="115" t="n"/>
      <c r="AL38" s="115" t="n"/>
      <c r="AM38" s="115" t="n"/>
      <c r="AN38" s="115" t="n"/>
      <c r="AO38" s="115" t="n"/>
    </row>
    <row r="39" ht="21" customFormat="1" customHeight="1" s="116">
      <c r="A39" s="93" t="inlineStr">
        <is>
          <t>FRANCA</t>
        </is>
      </c>
      <c r="B39" s="121" t="inlineStr">
        <is>
          <t>CHAPA_17</t>
        </is>
      </c>
      <c r="C39" s="118">
        <f>AC39</f>
        <v/>
      </c>
      <c r="D39" s="118">
        <f>C39*0.1818</f>
        <v/>
      </c>
      <c r="E39" s="118">
        <f>SUM(C39:D39)</f>
        <v/>
      </c>
      <c r="F39" s="118">
        <f>E39*0.1111</f>
        <v/>
      </c>
      <c r="G39" s="118">
        <f>E39*0.083</f>
        <v/>
      </c>
      <c r="H39" s="118">
        <f>SUM(E39:G39)*0.08</f>
        <v/>
      </c>
      <c r="I39" s="118">
        <f>IF(E39&lt;=$F$67,E39*$G$67,IF(E39&lt;=$F$68,E39*$G$68,IF(E39&lt;=$F$69,E39*$G$69,513.0125)))</f>
        <v/>
      </c>
      <c r="J39" s="135">
        <f>IF(I8=0,0,VLOOKUP(#REF!,$B$6:$I$26,8,0))</f>
        <v/>
      </c>
      <c r="K39" s="136">
        <f>IF(E39+I39&lt;=$K$60,(E39+I39)*J73-J39,IF(E39+I39&lt;=$K$61,(E39+I39)*J74-J39,IF(E39+I39&lt;=$K$62,(E39+I39)*L75-J39,513.0125)))</f>
        <v/>
      </c>
      <c r="L39" s="22" t="n"/>
      <c r="M39" s="32" t="n">
        <v>112.76</v>
      </c>
      <c r="N39" s="32" t="n">
        <v>122.37</v>
      </c>
      <c r="O39" s="32" t="n">
        <v>134.88</v>
      </c>
      <c r="P39" s="32" t="n">
        <v>112.76</v>
      </c>
      <c r="Q39" s="32" t="n">
        <v>51.25</v>
      </c>
      <c r="R39" s="32" t="n">
        <v>0</v>
      </c>
      <c r="S39" s="32" t="n">
        <v>112.76</v>
      </c>
      <c r="T39" s="32" t="n">
        <v>112.76</v>
      </c>
      <c r="U39" s="32" t="n">
        <v>112.76</v>
      </c>
      <c r="V39" s="32" t="n">
        <v>112.76</v>
      </c>
      <c r="W39" s="32" t="n">
        <v>112.76</v>
      </c>
      <c r="X39" s="32" t="n">
        <v>0</v>
      </c>
      <c r="Y39" s="32" t="n">
        <v>0</v>
      </c>
      <c r="Z39" s="32" t="n">
        <v>70.48</v>
      </c>
      <c r="AA39" s="32" t="n">
        <v>112.76</v>
      </c>
      <c r="AB39" s="32" t="n"/>
      <c r="AC39" s="137">
        <f>SUM(M39:AB39)</f>
        <v/>
      </c>
      <c r="AD39" s="115" t="n"/>
      <c r="AE39" s="115" t="n"/>
      <c r="AF39" s="115" t="n"/>
      <c r="AG39" s="115" t="n"/>
      <c r="AH39" s="115" t="n"/>
      <c r="AI39" s="115" t="n"/>
      <c r="AJ39" s="115" t="n"/>
      <c r="AK39" s="115" t="n"/>
      <c r="AL39" s="115" t="n"/>
      <c r="AM39" s="115" t="n"/>
      <c r="AN39" s="115" t="n"/>
      <c r="AO39" s="115" t="n"/>
    </row>
    <row r="40" ht="21" customFormat="1" customHeight="1" s="116">
      <c r="A40" s="93" t="inlineStr">
        <is>
          <t>FRANCA</t>
        </is>
      </c>
      <c r="B40" s="122" t="inlineStr">
        <is>
          <t>CHAPA_26</t>
        </is>
      </c>
      <c r="C40" s="136">
        <f>AC40</f>
        <v/>
      </c>
      <c r="D40" s="136">
        <f>C40*0.1818</f>
        <v/>
      </c>
      <c r="E40" s="136">
        <f>SUM(C40:D40)</f>
        <v/>
      </c>
      <c r="F40" s="136">
        <f>E40*0.1111</f>
        <v/>
      </c>
      <c r="G40" s="136">
        <f>E40*0.083</f>
        <v/>
      </c>
      <c r="H40" s="136">
        <f>SUM(E40:G40)*0.08</f>
        <v/>
      </c>
      <c r="I40" s="135">
        <f>AC10</f>
        <v/>
      </c>
      <c r="J40" s="135">
        <f>IF(I9=0,0,VLOOKUP(#REF!,$B$6:$I$26,8,0))</f>
        <v/>
      </c>
      <c r="K40" s="136">
        <f>IF(E40+I40&lt;=$K$60,(E40+I40)*J74-J40,IF(E40+I40&lt;=$K$61,(E40+I40)*J75-J40,IF(E40+I40&lt;=$K$62,(E40+I40)*L76-J40,513.0125)))</f>
        <v/>
      </c>
      <c r="L40" s="22" t="n"/>
      <c r="M40" s="32" t="n">
        <v>112.76</v>
      </c>
      <c r="N40" s="32" t="n">
        <v>112.76</v>
      </c>
      <c r="O40" s="32" t="n">
        <v>134.88</v>
      </c>
      <c r="P40" s="32" t="n">
        <v>112.76</v>
      </c>
      <c r="Q40" s="32" t="n">
        <v>51.25</v>
      </c>
      <c r="R40" s="32" t="n">
        <v>0</v>
      </c>
      <c r="S40" s="32" t="n">
        <v>112.76</v>
      </c>
      <c r="T40" s="32" t="n">
        <v>112.76</v>
      </c>
      <c r="U40" s="32" t="n">
        <v>112.76</v>
      </c>
      <c r="V40" s="32" t="n">
        <v>112.76</v>
      </c>
      <c r="W40" s="32" t="n">
        <v>112.76</v>
      </c>
      <c r="X40" s="32" t="n">
        <v>0</v>
      </c>
      <c r="Y40" s="32" t="n">
        <v>0</v>
      </c>
      <c r="Z40" s="32" t="n">
        <v>70.48</v>
      </c>
      <c r="AA40" s="32" t="n">
        <v>112.76</v>
      </c>
      <c r="AB40" s="32" t="n"/>
      <c r="AC40" s="137">
        <f>SUM(M40:AB40)</f>
        <v/>
      </c>
      <c r="AD40" s="115" t="n"/>
      <c r="AE40" s="115" t="n"/>
      <c r="AF40" s="115" t="n"/>
      <c r="AG40" s="115" t="n"/>
      <c r="AH40" s="115" t="n"/>
      <c r="AI40" s="115" t="n"/>
      <c r="AJ40" s="115" t="n"/>
      <c r="AK40" s="115" t="n"/>
      <c r="AL40" s="115" t="n"/>
      <c r="AM40" s="115" t="n"/>
      <c r="AN40" s="115" t="n"/>
      <c r="AO40" s="115" t="n"/>
    </row>
    <row r="41" ht="21" customFormat="1" customHeight="1" s="116">
      <c r="A41" s="93" t="inlineStr">
        <is>
          <t>FRANCA</t>
        </is>
      </c>
      <c r="B41" s="120" t="inlineStr">
        <is>
          <t>CHAPA_38</t>
        </is>
      </c>
      <c r="C41" s="118">
        <f>AC41</f>
        <v/>
      </c>
      <c r="D41" s="118">
        <f>C41*0.1818</f>
        <v/>
      </c>
      <c r="E41" s="118">
        <f>SUM(C41:D41)</f>
        <v/>
      </c>
      <c r="F41" s="118">
        <f>E41*0.1111</f>
        <v/>
      </c>
      <c r="G41" s="118">
        <f>E41*0.083</f>
        <v/>
      </c>
      <c r="H41" s="118">
        <f>SUM(E41:G41)*0.08</f>
        <v/>
      </c>
      <c r="I41" s="118">
        <f>IF(E41&lt;=$F$67,E41*$G$67,IF(E41&lt;=$F$68,E41*$G$68,IF(E41&lt;=$F$69,E41*$G$69,513.0125)))</f>
        <v/>
      </c>
      <c r="J41" s="135">
        <f>IF(I10=0,0,VLOOKUP(#REF!,$B$6:$I$26,8,0))</f>
        <v/>
      </c>
      <c r="K41" s="136">
        <f>IF(E41+I41&lt;=$K$60,(E41+I41)*J75-J41,IF(E41+I41&lt;=$K$61,(E41+I41)*J76-J41,IF(E41+I41&lt;=$K$62,(E41+I41)*L77-J41,513.0125)))</f>
        <v/>
      </c>
      <c r="L41" s="22" t="n"/>
      <c r="M41" s="32" t="n">
        <v>112.76</v>
      </c>
      <c r="N41" s="32" t="n">
        <v>112.76</v>
      </c>
      <c r="O41" s="32" t="n">
        <v>134.88</v>
      </c>
      <c r="P41" s="32" t="n">
        <v>112.76</v>
      </c>
      <c r="Q41" s="32" t="n">
        <v>51.26</v>
      </c>
      <c r="R41" s="32" t="n">
        <v>0</v>
      </c>
      <c r="S41" s="32" t="n">
        <v>112.76</v>
      </c>
      <c r="T41" s="32" t="n">
        <v>112.76</v>
      </c>
      <c r="U41" s="32" t="n">
        <v>0</v>
      </c>
      <c r="V41" s="32" t="n">
        <v>112.76</v>
      </c>
      <c r="W41" s="32" t="n">
        <v>112.76</v>
      </c>
      <c r="X41" s="32" t="n">
        <v>51.26</v>
      </c>
      <c r="Y41" s="32" t="n">
        <v>0</v>
      </c>
      <c r="Z41" s="32" t="n">
        <v>0</v>
      </c>
      <c r="AA41" s="32" t="n">
        <v>112.76</v>
      </c>
      <c r="AB41" s="32" t="n"/>
      <c r="AC41" s="137">
        <f>SUM(M41:AB41)</f>
        <v/>
      </c>
      <c r="AD41" s="115" t="n"/>
      <c r="AE41" s="115" t="n"/>
      <c r="AF41" s="115" t="n"/>
      <c r="AG41" s="115" t="n"/>
      <c r="AH41" s="115" t="n"/>
      <c r="AI41" s="115" t="n"/>
      <c r="AJ41" s="115" t="n"/>
      <c r="AK41" s="115" t="n"/>
      <c r="AL41" s="115" t="n"/>
      <c r="AM41" s="115" t="n"/>
      <c r="AN41" s="115" t="n"/>
      <c r="AO41" s="115" t="n"/>
    </row>
    <row r="42" ht="21" customFormat="1" customHeight="1" s="116">
      <c r="A42" s="93" t="inlineStr">
        <is>
          <t>FRANCA</t>
        </is>
      </c>
      <c r="B42" s="120" t="inlineStr">
        <is>
          <t>CHAPA_41</t>
        </is>
      </c>
      <c r="C42" s="118">
        <f>AC42</f>
        <v/>
      </c>
      <c r="D42" s="118">
        <f>C42*0.1818</f>
        <v/>
      </c>
      <c r="E42" s="118">
        <f>SUM(C42:D42)</f>
        <v/>
      </c>
      <c r="F42" s="118">
        <f>E42*0.1111</f>
        <v/>
      </c>
      <c r="G42" s="118">
        <f>E42*0.083</f>
        <v/>
      </c>
      <c r="H42" s="118">
        <f>SUM(E42:G42)*0.08</f>
        <v/>
      </c>
      <c r="I42" s="118">
        <f>IF(E42&lt;=$F$67,E42*$G$67,IF(E42&lt;=$F$68,E42*$G$68,IF(E42&lt;=$F$69,E42*$G$69,513.0125)))</f>
        <v/>
      </c>
      <c r="J42" s="135">
        <f>IF(I11=0,0,VLOOKUP(#REF!,$B$6:$I$26,8,0))</f>
        <v/>
      </c>
      <c r="K42" s="136">
        <f>IF(E42+I42&lt;=$K$60,(E42+I42)*J77-J42,IF(E42+I42&lt;=$K$61,(E42+I42)*J78-J42,IF(E42+I42&lt;=$K$62,(E42+I42)*L79-J42,513.0125)))</f>
        <v/>
      </c>
      <c r="L42" s="22" t="n"/>
      <c r="M42" s="32" t="n">
        <v>112.76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112.76</v>
      </c>
      <c r="T42" s="32" t="n">
        <v>112.76</v>
      </c>
      <c r="U42" s="32" t="n">
        <v>112.76</v>
      </c>
      <c r="V42" s="32" t="n">
        <v>112.76</v>
      </c>
      <c r="W42" s="32" t="n">
        <v>0</v>
      </c>
      <c r="X42" s="32" t="n">
        <v>51.26</v>
      </c>
      <c r="Y42" s="32" t="n">
        <v>0</v>
      </c>
      <c r="Z42" s="32" t="n">
        <v>70.47</v>
      </c>
      <c r="AA42" s="32" t="n">
        <v>112.76</v>
      </c>
      <c r="AB42" s="32" t="n"/>
      <c r="AC42" s="137">
        <f>SUM(M42:AB42)</f>
        <v/>
      </c>
      <c r="AD42" s="115" t="n"/>
      <c r="AE42" s="115" t="n"/>
      <c r="AF42" s="115" t="n"/>
      <c r="AG42" s="115" t="n"/>
      <c r="AH42" s="115" t="n"/>
      <c r="AI42" s="115" t="n"/>
      <c r="AJ42" s="115" t="n"/>
      <c r="AK42" s="115" t="n"/>
      <c r="AL42" s="115" t="n"/>
      <c r="AM42" s="115" t="n"/>
      <c r="AN42" s="115" t="n"/>
      <c r="AO42" s="115" t="n"/>
    </row>
    <row r="43" ht="21" customFormat="1" customHeight="1" s="116">
      <c r="A43" s="93" t="inlineStr">
        <is>
          <t>FRANCA</t>
        </is>
      </c>
      <c r="B43" s="120" t="inlineStr">
        <is>
          <t>CHAPA_43</t>
        </is>
      </c>
      <c r="C43" s="136">
        <f>AC43</f>
        <v/>
      </c>
      <c r="D43" s="136">
        <f>C43*0.1818</f>
        <v/>
      </c>
      <c r="E43" s="136">
        <f>SUM(C43:D43)</f>
        <v/>
      </c>
      <c r="F43" s="136">
        <f>E43*0.1111</f>
        <v/>
      </c>
      <c r="G43" s="136">
        <f>E43*0.083</f>
        <v/>
      </c>
      <c r="H43" s="136">
        <f>SUM(E43:G43)*0.08</f>
        <v/>
      </c>
      <c r="I43" s="135">
        <f>AC15</f>
        <v/>
      </c>
      <c r="J43" s="135">
        <f>IF(I15=0,0,VLOOKUP(#REF!,$B$6:$I$26,8,0))</f>
        <v/>
      </c>
      <c r="K43" s="136">
        <f>IF(E43+I43&lt;=$K$60,(E43+I43)*J79-J43,IF(E43+I43&lt;=$K$61,(E43+I43)*J80-J43,IF(E43+I43&lt;=$K$62,(E43+I43)*L81-J43,513.0125)))</f>
        <v/>
      </c>
      <c r="L43" s="22" t="n"/>
      <c r="M43" s="32" t="n">
        <v>112.76</v>
      </c>
      <c r="N43" s="32" t="n">
        <v>112.76</v>
      </c>
      <c r="O43" s="32" t="n">
        <v>134.88</v>
      </c>
      <c r="P43" s="32" t="n">
        <v>51.25</v>
      </c>
      <c r="Q43" s="32" t="n">
        <v>51.26</v>
      </c>
      <c r="R43" s="32" t="n">
        <v>0</v>
      </c>
      <c r="S43" s="32" t="n">
        <v>112.76</v>
      </c>
      <c r="T43" s="32" t="n">
        <v>112.76</v>
      </c>
      <c r="U43" s="32" t="n">
        <v>112.76</v>
      </c>
      <c r="V43" s="32" t="n">
        <v>112.76</v>
      </c>
      <c r="W43" s="32" t="n">
        <v>112.76</v>
      </c>
      <c r="X43" s="32" t="n">
        <v>51.26</v>
      </c>
      <c r="Y43" s="32" t="n">
        <v>0</v>
      </c>
      <c r="Z43" s="32" t="n">
        <v>70.47</v>
      </c>
      <c r="AA43" s="32" t="n">
        <v>112.76</v>
      </c>
      <c r="AB43" s="32" t="n"/>
      <c r="AC43" s="137">
        <f>SUM(M43:AB43)</f>
        <v/>
      </c>
      <c r="AD43" s="115" t="n"/>
      <c r="AE43" s="115" t="n"/>
      <c r="AF43" s="115" t="n"/>
      <c r="AG43" s="115" t="n"/>
      <c r="AH43" s="115" t="n"/>
      <c r="AI43" s="115" t="n"/>
      <c r="AJ43" s="115" t="n"/>
      <c r="AK43" s="115" t="n"/>
      <c r="AL43" s="115" t="n"/>
      <c r="AM43" s="115" t="n"/>
      <c r="AN43" s="115" t="n"/>
      <c r="AO43" s="115" t="n"/>
    </row>
    <row r="44" ht="21" customFormat="1" customHeight="1" s="116">
      <c r="A44" s="93" t="inlineStr">
        <is>
          <t>FRANCA</t>
        </is>
      </c>
      <c r="B44" s="117" t="inlineStr">
        <is>
          <t>CHAPA_46</t>
        </is>
      </c>
      <c r="C44" s="136">
        <f>AC44</f>
        <v/>
      </c>
      <c r="D44" s="136">
        <f>C44*0.1818</f>
        <v/>
      </c>
      <c r="E44" s="136">
        <f>SUM(C44:D44)</f>
        <v/>
      </c>
      <c r="F44" s="136">
        <f>E44*0.1111</f>
        <v/>
      </c>
      <c r="G44" s="136">
        <f>E44*0.083</f>
        <v/>
      </c>
      <c r="H44" s="136">
        <f>SUM(E44:G44)*0.08</f>
        <v/>
      </c>
      <c r="I44" s="135">
        <f>AC16</f>
        <v/>
      </c>
      <c r="J44" s="135">
        <f>IF(I16=0,0,VLOOKUP(#REF!,$B$6:$I$26,8,0))</f>
        <v/>
      </c>
      <c r="K44" s="136">
        <f>IF(E44+I44&lt;=$K$60,(E44+I44)*J80-J44,IF(E44+I44&lt;=$K$61,(E44+I44)*J81-J44,IF(E44+I44&lt;=$K$62,(E44+I44)*L82-J44,513.0125)))</f>
        <v/>
      </c>
      <c r="L44" s="22" t="n"/>
      <c r="M44" s="32" t="n">
        <v>112.76</v>
      </c>
      <c r="N44" s="32" t="n">
        <v>112.76</v>
      </c>
      <c r="O44" s="32" t="n">
        <v>134.88</v>
      </c>
      <c r="P44" s="32" t="n">
        <v>89.69</v>
      </c>
      <c r="Q44" s="32" t="n">
        <v>51.26</v>
      </c>
      <c r="R44" s="32" t="n">
        <v>0</v>
      </c>
      <c r="S44" s="32" t="n">
        <v>112.76</v>
      </c>
      <c r="T44" s="32" t="n">
        <v>112.76</v>
      </c>
      <c r="U44" s="32" t="n">
        <v>112.76</v>
      </c>
      <c r="V44" s="32" t="n">
        <v>112.76</v>
      </c>
      <c r="W44" s="32" t="n">
        <v>112.76</v>
      </c>
      <c r="X44" s="32" t="n">
        <v>0</v>
      </c>
      <c r="Y44" s="32" t="n">
        <v>0</v>
      </c>
      <c r="Z44" s="32" t="n">
        <v>70.47</v>
      </c>
      <c r="AA44" s="32" t="n">
        <v>112.75</v>
      </c>
      <c r="AB44" s="32" t="n"/>
      <c r="AC44" s="137">
        <f>SUM(M44:AB44)</f>
        <v/>
      </c>
      <c r="AD44" s="115" t="n"/>
      <c r="AE44" s="115" t="n"/>
      <c r="AF44" s="115" t="n"/>
      <c r="AG44" s="115" t="n"/>
      <c r="AH44" s="115" t="n"/>
      <c r="AI44" s="115" t="n"/>
      <c r="AJ44" s="115" t="n"/>
      <c r="AK44" s="115" t="n"/>
      <c r="AL44" s="115" t="n"/>
      <c r="AM44" s="115" t="n"/>
      <c r="AN44" s="115" t="n"/>
      <c r="AO44" s="115" t="n"/>
    </row>
    <row r="45" ht="21" customFormat="1" customHeight="1" s="116">
      <c r="A45" s="93" t="inlineStr">
        <is>
          <t>FRANCA</t>
        </is>
      </c>
      <c r="B45" s="123" t="n"/>
      <c r="C45" s="136">
        <f>AC45</f>
        <v/>
      </c>
      <c r="D45" s="136">
        <f>C45*0.1818</f>
        <v/>
      </c>
      <c r="E45" s="136">
        <f>SUM(C45:D45)</f>
        <v/>
      </c>
      <c r="F45" s="136">
        <f>E45*0.1111</f>
        <v/>
      </c>
      <c r="G45" s="136">
        <f>E45*0.083</f>
        <v/>
      </c>
      <c r="H45" s="136">
        <f>SUM(E45:G45)*0.08</f>
        <v/>
      </c>
      <c r="I45" s="135">
        <f>AC17</f>
        <v/>
      </c>
      <c r="J45" s="135">
        <f>IF(I17=0,0,VLOOKUP(#REF!,$B$6:$I$26,8,0))</f>
        <v/>
      </c>
      <c r="K45" s="136">
        <f>IF(E45+I45&lt;=$K$60,(E45+I45)*J81-J45,IF(E45+I45&lt;=$K$61,(E45+I45)*J82-J45,IF(E45+I45&lt;=$K$62,(E45+I45)*L83-J45,513.0125)))</f>
        <v/>
      </c>
      <c r="L45" s="2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137">
        <f>SUM(M45:AB45)</f>
        <v/>
      </c>
      <c r="AD45" s="115" t="n"/>
      <c r="AE45" s="115" t="n"/>
      <c r="AF45" s="115" t="n"/>
      <c r="AG45" s="115" t="n"/>
      <c r="AH45" s="115" t="n"/>
      <c r="AI45" s="115" t="n"/>
      <c r="AJ45" s="115" t="n"/>
      <c r="AK45" s="115" t="n"/>
      <c r="AL45" s="115" t="n"/>
      <c r="AM45" s="115" t="n"/>
      <c r="AN45" s="115" t="n"/>
      <c r="AO45" s="115" t="n"/>
    </row>
    <row r="46" ht="21" customFormat="1" customHeight="1" s="116">
      <c r="A46" s="93" t="inlineStr">
        <is>
          <t>FRANCA</t>
        </is>
      </c>
      <c r="B46" s="123" t="n"/>
      <c r="C46" s="136">
        <f>AC46</f>
        <v/>
      </c>
      <c r="D46" s="136">
        <f>C46*0.1818</f>
        <v/>
      </c>
      <c r="E46" s="136">
        <f>SUM(C46:D46)</f>
        <v/>
      </c>
      <c r="F46" s="136">
        <f>E46*0.1111</f>
        <v/>
      </c>
      <c r="G46" s="136">
        <f>E46*0.083</f>
        <v/>
      </c>
      <c r="H46" s="136">
        <f>SUM(E46:G46)*0.08</f>
        <v/>
      </c>
      <c r="I46" s="135">
        <f>AC18</f>
        <v/>
      </c>
      <c r="J46" s="135">
        <f>IF(I18=0,0,VLOOKUP(#REF!,$B$6:$I$26,8,0))</f>
        <v/>
      </c>
      <c r="K46" s="136">
        <f>IF(E46+I46&lt;=$K$60,(E46+I46)*J82-J46,IF(E46+I46&lt;=$K$61,(E46+I46)*J83-J46,IF(E46+I46&lt;=$K$62,(E46+I46)*L84-J46,513.0125)))</f>
        <v/>
      </c>
      <c r="L46" s="22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  <c r="AB46" s="32" t="n"/>
      <c r="AC46" s="137">
        <f>SUM(M46:AB46)</f>
        <v/>
      </c>
      <c r="AD46" s="115" t="n"/>
      <c r="AE46" s="115" t="n"/>
      <c r="AF46" s="115" t="n"/>
      <c r="AG46" s="115" t="n"/>
      <c r="AH46" s="115" t="n"/>
      <c r="AI46" s="115" t="n"/>
      <c r="AJ46" s="115" t="n"/>
      <c r="AK46" s="115" t="n"/>
      <c r="AL46" s="115" t="n"/>
      <c r="AM46" s="115" t="n"/>
      <c r="AN46" s="115" t="n"/>
      <c r="AO46" s="115" t="n"/>
    </row>
    <row r="47" ht="21" customFormat="1" customHeight="1" s="116">
      <c r="A47" s="93" t="inlineStr">
        <is>
          <t>FRANCA</t>
        </is>
      </c>
      <c r="B47" s="117" t="n"/>
      <c r="C47" s="136" t="n">
        <v>0</v>
      </c>
      <c r="D47" s="136">
        <f>C47*0.1818</f>
        <v/>
      </c>
      <c r="E47" s="136">
        <f>SUM(C47:D47)</f>
        <v/>
      </c>
      <c r="F47" s="136">
        <f>E47*0.1111</f>
        <v/>
      </c>
      <c r="G47" s="136">
        <f>E47*0.083</f>
        <v/>
      </c>
      <c r="H47" s="136">
        <f>SUM(E47:G47)*0.08</f>
        <v/>
      </c>
      <c r="I47" s="135">
        <f>AC19</f>
        <v/>
      </c>
      <c r="J47" s="135">
        <f>IF(I19=0,0,VLOOKUP(#REF!,$B$6:$I$26,8,0))</f>
        <v/>
      </c>
      <c r="K47" s="136">
        <f>IF(E47+I47&lt;=$K$60,(E47+I47)*J83-J47,IF(E47+I47&lt;=$K$61,(E47+I47)*J84-J47,IF(E47+I47&lt;=$K$62,(E47+I47)*L85-J47,513.0125)))</f>
        <v/>
      </c>
      <c r="L47" s="2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137">
        <f>SUM(M47:AB47)</f>
        <v/>
      </c>
      <c r="AD47" s="115" t="n"/>
      <c r="AE47" s="115" t="n"/>
      <c r="AF47" s="115" t="n"/>
      <c r="AG47" s="115" t="n"/>
      <c r="AH47" s="115" t="n"/>
      <c r="AI47" s="115" t="n"/>
      <c r="AJ47" s="115" t="n"/>
      <c r="AK47" s="115" t="n"/>
      <c r="AL47" s="115" t="n"/>
      <c r="AM47" s="115" t="n"/>
      <c r="AN47" s="115" t="n"/>
      <c r="AO47" s="115" t="n"/>
    </row>
    <row r="48" ht="21" customFormat="1" customHeight="1" s="116">
      <c r="A48" s="93" t="inlineStr">
        <is>
          <t>FRANCA</t>
        </is>
      </c>
      <c r="B48" s="122" t="n"/>
      <c r="C48" s="136">
        <f>AC48</f>
        <v/>
      </c>
      <c r="D48" s="136">
        <f>C48*0.1818</f>
        <v/>
      </c>
      <c r="E48" s="136">
        <f>SUM(C48:D48)</f>
        <v/>
      </c>
      <c r="F48" s="136">
        <f>E48*0.1111</f>
        <v/>
      </c>
      <c r="G48" s="136">
        <f>E48*0.083</f>
        <v/>
      </c>
      <c r="H48" s="136">
        <f>SUM(E48:G48)*0.08</f>
        <v/>
      </c>
      <c r="I48" s="135">
        <f>AC20</f>
        <v/>
      </c>
      <c r="J48" s="135">
        <f>IF(I20=0,0,VLOOKUP(#REF!,$B$6:$I$26,8,0))</f>
        <v/>
      </c>
      <c r="K48" s="136">
        <f>IF(E48+I48&lt;=$K$60,(E48+I48)*J84-J48,IF(E48+I48&lt;=$K$61,(E48+I48)*J85-J48,IF(E48+I48&lt;=$K$62,(E48+I48)*L86-J48,513.0125)))</f>
        <v/>
      </c>
      <c r="L48" s="2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97" t="n"/>
      <c r="AA48" s="97" t="n"/>
      <c r="AB48" s="97" t="n"/>
      <c r="AC48" s="137">
        <f>SUM(M48:AB48)</f>
        <v/>
      </c>
      <c r="AD48" s="115" t="n"/>
      <c r="AE48" s="115" t="n"/>
      <c r="AF48" s="115" t="n"/>
      <c r="AG48" s="115" t="n"/>
      <c r="AH48" s="115" t="n"/>
      <c r="AI48" s="115" t="n"/>
      <c r="AJ48" s="115" t="n"/>
      <c r="AK48" s="115" t="n"/>
      <c r="AL48" s="115" t="n"/>
      <c r="AM48" s="115" t="n"/>
      <c r="AN48" s="115" t="n"/>
      <c r="AO48" s="115" t="n"/>
    </row>
    <row r="49" ht="21" customFormat="1" customHeight="1" s="116">
      <c r="A49" s="93" t="inlineStr">
        <is>
          <t>FRANCA</t>
        </is>
      </c>
      <c r="B49" s="120" t="n"/>
      <c r="C49" s="136">
        <f>AC49</f>
        <v/>
      </c>
      <c r="D49" s="136">
        <f>C49*0.1818</f>
        <v/>
      </c>
      <c r="E49" s="136">
        <f>SUM(C49:D49)</f>
        <v/>
      </c>
      <c r="F49" s="136">
        <f>E49*0.1111</f>
        <v/>
      </c>
      <c r="G49" s="136">
        <f>E49*0.083</f>
        <v/>
      </c>
      <c r="H49" s="136">
        <f>SUM(E49:G49)*0.08</f>
        <v/>
      </c>
      <c r="I49" s="135">
        <f>AC21</f>
        <v/>
      </c>
      <c r="J49" s="135">
        <f>IF(I21=0,0,VLOOKUP(B16,$B$6:$I$26,8,0))</f>
        <v/>
      </c>
      <c r="K49" s="136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137">
        <f>SUM(M49:AB49)</f>
        <v/>
      </c>
      <c r="AD49" s="115" t="n"/>
      <c r="AE49" s="115" t="n"/>
      <c r="AF49" s="115" t="n"/>
      <c r="AG49" s="115" t="n"/>
      <c r="AH49" s="115" t="n"/>
      <c r="AI49" s="115" t="n"/>
      <c r="AJ49" s="115" t="n"/>
      <c r="AK49" s="115" t="n"/>
      <c r="AL49" s="115" t="n"/>
      <c r="AM49" s="115" t="n"/>
      <c r="AN49" s="115" t="n"/>
      <c r="AO49" s="115" t="n"/>
    </row>
    <row r="50" ht="21" customFormat="1" customHeight="1" s="116">
      <c r="A50" s="93" t="inlineStr">
        <is>
          <t>FRANCA</t>
        </is>
      </c>
      <c r="B50" s="120" t="n"/>
      <c r="C50" s="136">
        <f>AC50</f>
        <v/>
      </c>
      <c r="D50" s="136">
        <f>C50*0.1818</f>
        <v/>
      </c>
      <c r="E50" s="136">
        <f>SUM(C50:D50)</f>
        <v/>
      </c>
      <c r="F50" s="136">
        <f>E50*0.1111</f>
        <v/>
      </c>
      <c r="G50" s="136">
        <f>E50*0.083</f>
        <v/>
      </c>
      <c r="H50" s="136">
        <f>SUM(E50:G50)*0.08</f>
        <v/>
      </c>
      <c r="I50" s="135">
        <f>AC22</f>
        <v/>
      </c>
      <c r="J50" s="135">
        <f>IF(I22=0,0,VLOOKUP(#REF!,$B$6:$I$26,8,0))</f>
        <v/>
      </c>
      <c r="K50" s="136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137">
        <f>SUM(M50:AB50)</f>
        <v/>
      </c>
      <c r="AD50" s="115" t="n"/>
      <c r="AE50" s="115" t="n"/>
      <c r="AF50" s="115" t="n"/>
      <c r="AG50" s="115" t="n"/>
      <c r="AH50" s="115" t="n"/>
      <c r="AI50" s="115" t="n"/>
      <c r="AJ50" s="115" t="n"/>
      <c r="AK50" s="115" t="n"/>
      <c r="AL50" s="115" t="n"/>
      <c r="AM50" s="115" t="n"/>
      <c r="AN50" s="115" t="n"/>
      <c r="AO50" s="115" t="n"/>
    </row>
    <row r="51" ht="21" customFormat="1" customHeight="1" s="116">
      <c r="A51" s="93" t="inlineStr">
        <is>
          <t>FRANCA</t>
        </is>
      </c>
      <c r="B51" s="123" t="n"/>
      <c r="C51" s="136">
        <f>AC51</f>
        <v/>
      </c>
      <c r="D51" s="136">
        <f>C51*0.1818</f>
        <v/>
      </c>
      <c r="E51" s="136">
        <f>SUM(C51:D51)</f>
        <v/>
      </c>
      <c r="F51" s="136">
        <f>E51*0.1111</f>
        <v/>
      </c>
      <c r="G51" s="136">
        <f>E51*0.083</f>
        <v/>
      </c>
      <c r="H51" s="136">
        <f>SUM(E51:G51)*0.08</f>
        <v/>
      </c>
      <c r="I51" s="135">
        <f>AC23</f>
        <v/>
      </c>
      <c r="J51" s="135">
        <f>IF(I23=0,0,VLOOKUP(#REF!,$B$6:$I$26,8,0))</f>
        <v/>
      </c>
      <c r="K51" s="136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137">
        <f>SUM(M51:AB51)</f>
        <v/>
      </c>
      <c r="AD51" s="115" t="n"/>
      <c r="AE51" s="115" t="n"/>
      <c r="AF51" s="115" t="n"/>
      <c r="AG51" s="115" t="n"/>
      <c r="AH51" s="115" t="n"/>
      <c r="AI51" s="115" t="n"/>
      <c r="AJ51" s="115" t="n"/>
      <c r="AK51" s="115" t="n"/>
      <c r="AL51" s="115" t="n"/>
      <c r="AM51" s="115" t="n"/>
      <c r="AN51" s="115" t="n"/>
      <c r="AO51" s="115" t="n"/>
    </row>
    <row r="52" ht="21" customFormat="1" customHeight="1" s="116">
      <c r="A52" s="93" t="inlineStr">
        <is>
          <t>FRANCA</t>
        </is>
      </c>
      <c r="B52" s="123" t="n"/>
      <c r="C52" s="136">
        <f>AC52</f>
        <v/>
      </c>
      <c r="D52" s="136">
        <f>C52*0.1818</f>
        <v/>
      </c>
      <c r="E52" s="136">
        <f>SUM(C52:D52)</f>
        <v/>
      </c>
      <c r="F52" s="136">
        <f>E52*0.1111</f>
        <v/>
      </c>
      <c r="G52" s="136">
        <f>E52*0.083</f>
        <v/>
      </c>
      <c r="H52" s="136">
        <f>SUM(E52:G52)*0.08</f>
        <v/>
      </c>
      <c r="I52" s="135">
        <f>AC24</f>
        <v/>
      </c>
      <c r="J52" s="135">
        <f>IF(I24=0,0,VLOOKUP(#REF!,$B$6:$I$26,8,0))</f>
        <v/>
      </c>
      <c r="K52" s="136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137">
        <f>SUM(M52:AB52)</f>
        <v/>
      </c>
      <c r="AD52" s="115" t="n"/>
      <c r="AE52" s="115" t="n"/>
      <c r="AF52" s="115" t="n"/>
      <c r="AG52" s="115" t="n"/>
      <c r="AH52" s="115" t="n"/>
      <c r="AI52" s="115" t="n"/>
      <c r="AJ52" s="115" t="n"/>
      <c r="AK52" s="115" t="n"/>
      <c r="AL52" s="115" t="inlineStr">
        <is>
          <t xml:space="preserve"> </t>
        </is>
      </c>
      <c r="AM52" s="115" t="n"/>
      <c r="AN52" s="115" t="n"/>
      <c r="AO52" s="115" t="n"/>
    </row>
    <row r="53" ht="21" customFormat="1" customHeight="1" s="116">
      <c r="A53" s="93" t="inlineStr">
        <is>
          <t>FRANCA</t>
        </is>
      </c>
      <c r="B53" s="123" t="n"/>
      <c r="C53" s="136">
        <f>AC53</f>
        <v/>
      </c>
      <c r="D53" s="136">
        <f>C53*0.1818</f>
        <v/>
      </c>
      <c r="E53" s="136">
        <f>SUM(C53:D53)</f>
        <v/>
      </c>
      <c r="F53" s="136">
        <f>E53*0.1111</f>
        <v/>
      </c>
      <c r="G53" s="136">
        <f>E53*0.083</f>
        <v/>
      </c>
      <c r="H53" s="136">
        <f>SUM(E53:G53)*0.08</f>
        <v/>
      </c>
      <c r="I53" s="135">
        <f>AC25</f>
        <v/>
      </c>
      <c r="J53" s="135">
        <f>IF(I25=0,0,VLOOKUP(#REF!,$B$6:$I$26,8,0))</f>
        <v/>
      </c>
      <c r="K53" s="136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137">
        <f>SUM(M53:AB53)</f>
        <v/>
      </c>
      <c r="AD53" s="115" t="n"/>
      <c r="AE53" s="115" t="n"/>
      <c r="AF53" s="115" t="n"/>
      <c r="AG53" s="115" t="n"/>
      <c r="AH53" s="115" t="n"/>
      <c r="AI53" s="115" t="n"/>
      <c r="AJ53" s="115" t="n"/>
      <c r="AK53" s="115" t="n"/>
      <c r="AL53" s="115" t="n"/>
      <c r="AM53" s="115" t="n"/>
      <c r="AN53" s="115" t="n"/>
      <c r="AO53" s="115" t="n"/>
    </row>
    <row r="54" ht="21" customFormat="1" customHeight="1" s="116">
      <c r="A54" s="93" t="inlineStr">
        <is>
          <t>FRANCA</t>
        </is>
      </c>
      <c r="B54" s="123" t="n"/>
      <c r="C54" s="136">
        <f>AC54</f>
        <v/>
      </c>
      <c r="D54" s="136">
        <f>C54*0.1818</f>
        <v/>
      </c>
      <c r="E54" s="136">
        <f>SUM(C54:D54)</f>
        <v/>
      </c>
      <c r="F54" s="136">
        <f>E54*0.1111</f>
        <v/>
      </c>
      <c r="G54" s="136">
        <f>E54*0.083</f>
        <v/>
      </c>
      <c r="H54" s="136">
        <f>SUM(E54:G54)*0.08</f>
        <v/>
      </c>
      <c r="I54" s="135">
        <f>AC26</f>
        <v/>
      </c>
      <c r="J54" s="135">
        <f>IF(I26=0,0,VLOOKUP(#REF!,$B$6:$I$26,8,0))</f>
        <v/>
      </c>
      <c r="K54" s="136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137">
        <f>SUM(M54:AB54)</f>
        <v/>
      </c>
      <c r="AD54" s="115" t="n"/>
      <c r="AE54" s="115" t="n"/>
      <c r="AF54" s="115" t="n"/>
      <c r="AG54" s="115" t="n"/>
      <c r="AH54" s="115" t="n"/>
      <c r="AI54" s="115" t="n"/>
      <c r="AJ54" s="115" t="n"/>
      <c r="AK54" s="115" t="n"/>
      <c r="AL54" s="115" t="n"/>
      <c r="AM54" s="115" t="n"/>
      <c r="AN54" s="115" t="n"/>
      <c r="AO54" s="115" t="n"/>
    </row>
    <row r="55" ht="21" customFormat="1" customHeight="1" s="116" thickBot="1">
      <c r="A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25" t="n"/>
      <c r="N55" s="125" t="n">
        <v>29</v>
      </c>
      <c r="O55" s="125">
        <f>COUNT(#REF!)</f>
        <v/>
      </c>
      <c r="P55" s="125">
        <f>COUNT(#REF!)</f>
        <v/>
      </c>
      <c r="Q55" s="125">
        <f>COUNT(#REF!)</f>
        <v/>
      </c>
      <c r="R55" s="125" t="n"/>
      <c r="S55" s="125">
        <f>COUNT(#REF!)</f>
        <v/>
      </c>
      <c r="T55" s="125">
        <f>COUNT(#REF!)</f>
        <v/>
      </c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14" t="n"/>
      <c r="AE55" s="115" t="n"/>
      <c r="AF55" s="115" t="n"/>
      <c r="AG55" s="115" t="n"/>
      <c r="AH55" s="115" t="n"/>
      <c r="AI55" s="115" t="n"/>
      <c r="AJ55" s="115" t="n"/>
      <c r="AK55" s="115" t="n"/>
      <c r="AL55" s="115" t="n"/>
      <c r="AM55" s="115" t="n"/>
      <c r="AN55" s="115" t="n"/>
      <c r="AO55" s="115" t="n"/>
      <c r="AP55" s="115" t="n"/>
    </row>
    <row r="56" ht="21" customFormat="1" customHeight="1" s="116">
      <c r="L56" s="114" t="n"/>
      <c r="M56" s="165" t="inlineStr">
        <is>
          <t>TOTAL GERAL / BOLETIM ENSACADORES:</t>
        </is>
      </c>
      <c r="N56" s="166" t="n"/>
      <c r="O56" s="166" t="n"/>
      <c r="P56" s="166" t="n"/>
      <c r="Q56" s="166" t="n"/>
      <c r="R56" s="166" t="n"/>
      <c r="S56" s="166" t="n"/>
      <c r="T56" s="166" t="n"/>
      <c r="U56" s="166" t="n"/>
      <c r="V56" s="166" t="n"/>
      <c r="W56" s="166" t="n"/>
      <c r="X56" s="166" t="n"/>
      <c r="Y56" s="166" t="n"/>
      <c r="Z56" s="166" t="n"/>
      <c r="AA56" s="166" t="n"/>
      <c r="AB56" s="166" t="n"/>
      <c r="AC56" s="167" t="n"/>
      <c r="AD56" s="129" t="inlineStr">
        <is>
          <t>TOTAL:</t>
        </is>
      </c>
      <c r="AE56" s="115" t="n"/>
      <c r="AF56" s="115" t="n"/>
      <c r="AG56" s="115" t="n"/>
      <c r="AH56" s="115" t="n"/>
      <c r="AI56" s="115" t="n"/>
      <c r="AJ56" s="115" t="n"/>
      <c r="AK56" s="115" t="n"/>
      <c r="AL56" s="115" t="n"/>
      <c r="AM56" s="115" t="n"/>
      <c r="AN56" s="115" t="n"/>
      <c r="AO56" s="115" t="n"/>
      <c r="AP56" s="115" t="n"/>
    </row>
    <row r="57" ht="22.8" customFormat="1" customHeight="1" s="116">
      <c r="L57" s="114" t="n"/>
      <c r="M57" s="130">
        <f>SUM(M36:M54)</f>
        <v/>
      </c>
      <c r="N57" s="130">
        <f>SUM(N36:N54)</f>
        <v/>
      </c>
      <c r="O57" s="130">
        <f>SUM(O36:O54)</f>
        <v/>
      </c>
      <c r="P57" s="130">
        <f>SUM(P36:P54)</f>
        <v/>
      </c>
      <c r="Q57" s="130">
        <f>SUM(Q36:Q54)</f>
        <v/>
      </c>
      <c r="R57" s="130">
        <f>SUM(R36:R54)</f>
        <v/>
      </c>
      <c r="S57" s="130">
        <f>SUM(S36:S54)</f>
        <v/>
      </c>
      <c r="T57" s="130">
        <f>SUM(T36:T54)</f>
        <v/>
      </c>
      <c r="U57" s="130">
        <f>SUM(U36:U54)</f>
        <v/>
      </c>
      <c r="V57" s="130">
        <f>SUM(V36:V54)</f>
        <v/>
      </c>
      <c r="W57" s="130">
        <f>SUM(W36:W54)</f>
        <v/>
      </c>
      <c r="X57" s="130">
        <f>SUM(X36:X54)</f>
        <v/>
      </c>
      <c r="Y57" s="130">
        <f>SUM(Y36:Y54)</f>
        <v/>
      </c>
      <c r="Z57" s="130">
        <f>SUM(Z36:Z54)</f>
        <v/>
      </c>
      <c r="AA57" s="130">
        <f>SUM(AA36:AA54)</f>
        <v/>
      </c>
      <c r="AB57" s="130">
        <f>SUM(AB36:AB54)</f>
        <v/>
      </c>
      <c r="AC57" s="131" t="n"/>
      <c r="AD57" s="132">
        <f>SUM(M57:AB57)</f>
        <v/>
      </c>
      <c r="AE57" s="115" t="n"/>
      <c r="AF57" s="168" t="inlineStr">
        <is>
          <t>TOTAL FATURA</t>
        </is>
      </c>
      <c r="AG57" s="162" t="n"/>
      <c r="AH57" s="115" t="n"/>
      <c r="AI57" s="115" t="n"/>
      <c r="AJ57" s="115" t="n"/>
      <c r="AK57" s="115" t="n"/>
      <c r="AL57" s="115" t="n"/>
      <c r="AM57" s="115" t="n"/>
      <c r="AN57" s="115" t="n"/>
      <c r="AO57" s="115" t="n"/>
      <c r="AP57" s="115" t="n"/>
    </row>
    <row r="58" ht="22.8" customFormat="1" customHeight="1" s="116">
      <c r="L58" s="114" t="n"/>
      <c r="AE58" s="115" t="n"/>
      <c r="AF58" s="161">
        <f>SUM(AD29,AD57)</f>
        <v/>
      </c>
      <c r="AG58" s="162" t="n"/>
      <c r="AH58" s="115" t="n"/>
      <c r="AI58" s="115" t="n"/>
      <c r="AJ58" s="115" t="n"/>
      <c r="AK58" s="115" t="n"/>
      <c r="AL58" s="115" t="n"/>
      <c r="AM58" s="115" t="n"/>
      <c r="AN58" s="115" t="n"/>
      <c r="AO58" s="115" t="n"/>
      <c r="AP58" s="115" t="n"/>
    </row>
    <row r="59" ht="21" customFormat="1" customHeight="1" s="116" thickBot="1">
      <c r="L59" s="114" t="n"/>
      <c r="AE59" s="115" t="n"/>
      <c r="AF59" s="115" t="n"/>
      <c r="AG59" s="115" t="n"/>
      <c r="AH59" s="115" t="n"/>
      <c r="AI59" s="115" t="n"/>
      <c r="AJ59" s="115" t="n"/>
      <c r="AK59" s="115" t="n"/>
      <c r="AL59" s="115" t="n"/>
      <c r="AM59" s="115" t="n"/>
      <c r="AN59" s="115" t="n"/>
      <c r="AO59" s="115" t="n"/>
      <c r="AP59" s="115" t="n"/>
    </row>
    <row r="60" ht="21.6" customFormat="1" customHeight="1" s="116" thickBot="1">
      <c r="A60" s="138" t="inlineStr">
        <is>
          <t>MÉDIA DIARIA CHAPAS</t>
        </is>
      </c>
      <c r="B60" s="156" t="n"/>
      <c r="C60" s="134" t="n">
        <v>11</v>
      </c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43" t="n"/>
      <c r="N60" s="143" t="n"/>
      <c r="O60" s="143" t="n"/>
      <c r="P60" s="143" t="n"/>
      <c r="Q60" s="143" t="n"/>
      <c r="R60" s="143" t="n"/>
      <c r="S60" s="143" t="n"/>
      <c r="T60" s="143" t="n"/>
      <c r="U60" s="143" t="n"/>
      <c r="V60" s="143" t="n"/>
      <c r="W60" s="143" t="n"/>
      <c r="X60" s="143" t="n"/>
      <c r="Y60" s="143" t="n"/>
      <c r="Z60" s="143" t="n"/>
      <c r="AA60" s="143" t="n"/>
      <c r="AB60" s="143" t="n"/>
      <c r="AC60" s="143" t="n"/>
      <c r="AD60" s="143" t="n"/>
      <c r="AE60" s="115" t="n"/>
      <c r="AF60" s="115" t="n"/>
      <c r="AG60" s="115" t="n"/>
      <c r="AH60" s="115" t="n"/>
      <c r="AI60" s="115" t="n"/>
      <c r="AJ60" s="115" t="n"/>
      <c r="AK60" s="115" t="n"/>
      <c r="AL60" s="115" t="n"/>
      <c r="AM60" s="115" t="n"/>
      <c r="AN60" s="115" t="n"/>
      <c r="AO60" s="115" t="n"/>
      <c r="AP60" s="115" t="n"/>
    </row>
    <row r="61" ht="21.6" customFormat="1" customHeight="1" s="116" thickBot="1">
      <c r="A61" s="169" t="inlineStr">
        <is>
          <t>TOTAL DE CHAPAS NO MÊS</t>
        </is>
      </c>
      <c r="B61" s="156" t="n"/>
      <c r="C61" s="145" t="n">
        <v>11</v>
      </c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5" t="n"/>
      <c r="AF61" s="115" t="n"/>
      <c r="AG61" s="115" t="n"/>
      <c r="AH61" s="115" t="n"/>
      <c r="AI61" s="115" t="n"/>
      <c r="AJ61" s="115" t="n"/>
      <c r="AK61" s="115" t="n"/>
      <c r="AL61" s="115" t="n"/>
      <c r="AM61" s="115" t="n"/>
      <c r="AN61" s="115" t="n"/>
      <c r="AO61" s="115" t="n"/>
      <c r="AP61" s="115" t="n"/>
    </row>
    <row r="62" ht="21" customFormat="1" customHeight="1" s="116">
      <c r="A62" s="146" t="n"/>
      <c r="B62" s="114" t="n"/>
      <c r="C62" s="143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08" t="n"/>
      <c r="N62" s="108" t="n"/>
      <c r="O62" s="108" t="n"/>
      <c r="P62" s="108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5" t="n"/>
      <c r="AF62" s="115" t="n"/>
      <c r="AG62" s="115" t="n"/>
      <c r="AH62" s="115" t="n"/>
      <c r="AI62" s="115" t="n"/>
      <c r="AJ62" s="115" t="n"/>
      <c r="AK62" s="115" t="n"/>
      <c r="AL62" s="115" t="n"/>
      <c r="AM62" s="115" t="n"/>
      <c r="AN62" s="115" t="n"/>
      <c r="AO62" s="115" t="n"/>
      <c r="AP62" s="115" t="n"/>
    </row>
    <row r="63" ht="25.8" customFormat="1" customHeight="1" s="116">
      <c r="A63" s="147" t="n"/>
      <c r="B63" s="148" t="n"/>
      <c r="C63" s="119" t="n"/>
      <c r="K63" s="119" t="n"/>
      <c r="L63" s="119" t="n"/>
      <c r="M63" s="119" t="n"/>
      <c r="N63" s="119" t="n"/>
      <c r="O63" s="119" t="n"/>
      <c r="P63" s="119" t="n"/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</row>
    <row r="64" ht="21" customFormat="1" customHeight="1" s="116">
      <c r="A64" s="119" t="n"/>
      <c r="B64" s="119" t="n"/>
      <c r="C64" s="119" t="n"/>
      <c r="K64" s="119" t="n"/>
      <c r="L64" s="119" t="n"/>
      <c r="M64" s="119" t="n"/>
      <c r="N64" s="119" t="n"/>
      <c r="O64" s="119" t="n"/>
      <c r="P64" s="119" t="n"/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</row>
    <row r="65" ht="21" customFormat="1" customHeight="1" s="116">
      <c r="A65" s="119" t="n"/>
      <c r="B65" s="119" t="n"/>
      <c r="C65" s="119" t="n"/>
      <c r="K65" s="119" t="n"/>
      <c r="L65" s="119" t="n"/>
      <c r="M65" s="119" t="n"/>
      <c r="N65" s="119" t="n"/>
      <c r="O65" s="119" t="n"/>
      <c r="P65" s="119" t="n"/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</row>
    <row r="66" ht="21" customFormat="1" customHeight="1" s="116">
      <c r="A66" s="119" t="n"/>
      <c r="B66" s="119" t="n"/>
      <c r="C66" s="119" t="n"/>
      <c r="K66" s="119" t="n"/>
      <c r="L66" s="119" t="n"/>
      <c r="M66" s="119" t="n"/>
      <c r="N66" s="119" t="n"/>
      <c r="O66" s="119" t="n"/>
      <c r="P66" s="119" t="n"/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</row>
    <row r="67" ht="21" customFormat="1" customHeight="1" s="116">
      <c r="A67" s="119" t="n"/>
      <c r="B67" s="119" t="n"/>
      <c r="C67" s="119" t="n"/>
      <c r="K67" s="119" t="n"/>
      <c r="L67" s="119" t="n"/>
      <c r="M67" s="119" t="n"/>
      <c r="N67" s="119" t="n"/>
      <c r="O67" s="119" t="n"/>
      <c r="P67" s="119" t="n"/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</row>
    <row r="68" ht="21" customFormat="1" customHeight="1" s="116">
      <c r="A68" s="119" t="n"/>
      <c r="B68" s="119" t="n"/>
      <c r="C68" s="119" t="n"/>
      <c r="K68" s="119" t="n"/>
      <c r="L68" s="119" t="n"/>
      <c r="M68" s="119" t="n"/>
      <c r="N68" s="119" t="n"/>
      <c r="O68" s="119" t="n"/>
      <c r="P68" s="119" t="n"/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</row>
    <row r="69" ht="21" customFormat="1" customHeight="1" s="116">
      <c r="A69" s="119" t="n"/>
      <c r="B69" s="119" t="n"/>
      <c r="C69" s="119" t="n"/>
      <c r="K69" s="119" t="n"/>
      <c r="L69" s="119" t="n"/>
      <c r="M69" s="119" t="n"/>
      <c r="N69" s="119" t="n"/>
      <c r="O69" s="119" t="n"/>
      <c r="P69" s="119" t="n"/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</row>
    <row r="70" ht="21" customFormat="1" customHeight="1" s="116">
      <c r="A70" s="119" t="n"/>
      <c r="B70" s="119" t="n"/>
      <c r="C70" s="119" t="n"/>
      <c r="K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</row>
    <row r="71" ht="21" customFormat="1" customHeight="1" s="116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/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</row>
    <row r="72" customFormat="1" s="116"/>
    <row r="73" customFormat="1" s="116"/>
    <row r="74" customFormat="1" s="116"/>
    <row r="75" customFormat="1" s="116"/>
    <row r="76" customFormat="1" s="116"/>
    <row r="77" customFormat="1" s="116"/>
    <row r="78" customFormat="1" s="116"/>
    <row r="79" customFormat="1" s="116"/>
    <row r="80" customFormat="1" s="116"/>
    <row r="81" customFormat="1" s="116"/>
    <row r="82" customFormat="1" s="116"/>
    <row r="83" customFormat="1" s="116"/>
    <row r="84" customFormat="1" s="116"/>
    <row r="85" customFormat="1" s="116"/>
    <row r="86" customFormat="1" s="116"/>
    <row r="87" customFormat="1" s="116"/>
    <row r="88" customFormat="1" s="116"/>
    <row r="89" customFormat="1" s="116"/>
    <row r="90" customFormat="1" s="116"/>
    <row r="91" customFormat="1" s="116"/>
    <row r="92" customFormat="1" s="116"/>
    <row r="93" customFormat="1" s="116"/>
    <row r="94" customFormat="1" s="116"/>
    <row r="95" customFormat="1" s="116"/>
    <row r="96" customFormat="1" s="116"/>
    <row r="97" customFormat="1" s="116"/>
    <row r="98" customFormat="1" s="116"/>
    <row r="99" customFormat="1" s="116"/>
    <row r="100" customFormat="1" s="116"/>
    <row r="101" customFormat="1" s="116"/>
    <row r="102" customFormat="1" s="116"/>
    <row r="103" customFormat="1" s="116"/>
    <row r="104" customFormat="1" s="116"/>
    <row r="105" customFormat="1" s="116"/>
    <row r="106" customFormat="1" s="116"/>
    <row r="107" customFormat="1" s="116"/>
    <row r="108" customFormat="1" s="116"/>
    <row r="109" customFormat="1" s="116"/>
    <row r="110" customFormat="1" s="116"/>
    <row r="111" customFormat="1" s="116"/>
    <row r="112" customFormat="1" s="116"/>
    <row r="113" customFormat="1" s="116"/>
    <row r="114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AD114" s="116" t="n"/>
      <c r="AE114" s="116" t="n"/>
      <c r="AF114" s="116" t="n"/>
      <c r="AG114" s="116" t="n"/>
      <c r="AH114" s="116" t="n"/>
    </row>
  </sheetData>
  <mergeCells count="13">
    <mergeCell ref="A34:K34"/>
    <mergeCell ref="M34:AD34"/>
    <mergeCell ref="M4:AC4"/>
    <mergeCell ref="A60:B60"/>
    <mergeCell ref="M56:AC56"/>
    <mergeCell ref="A2:H2"/>
    <mergeCell ref="AF58:AG58"/>
    <mergeCell ref="M28:AC28"/>
    <mergeCell ref="A3:I3"/>
    <mergeCell ref="A1:H1"/>
    <mergeCell ref="A4:I4"/>
    <mergeCell ref="A61:B61"/>
    <mergeCell ref="AF57:AG57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14"/>
  <sheetViews>
    <sheetView zoomScale="40" zoomScaleNormal="40" workbookViewId="0">
      <selection activeCell="M58" sqref="M58:AD59"/>
    </sheetView>
  </sheetViews>
  <sheetFormatPr baseColWidth="8" defaultColWidth="9.109375" defaultRowHeight="14.4"/>
  <cols>
    <col width="14.109375" customWidth="1" style="108" min="1" max="1"/>
    <col width="60.44140625" bestFit="1" customWidth="1" style="108" min="2" max="2"/>
    <col width="16.33203125" bestFit="1" customWidth="1" style="108" min="3" max="3"/>
    <col width="15.109375" bestFit="1" customWidth="1" style="108" min="4" max="4"/>
    <col width="16.33203125" bestFit="1" customWidth="1" style="108" min="5" max="5"/>
    <col width="14.88671875" customWidth="1" style="108" min="6" max="6"/>
    <col width="21.6640625" bestFit="1" customWidth="1" style="108" min="7" max="7"/>
    <col width="15" bestFit="1" customWidth="1" style="108" min="8" max="8"/>
    <col width="14" customWidth="1" style="108" min="9" max="9"/>
    <col width="20.88671875" customWidth="1" style="108" min="10" max="10"/>
    <col width="20.6640625" customWidth="1" style="108" min="11" max="11"/>
    <col width="3" customWidth="1" style="108" min="12" max="12"/>
    <col width="15.33203125" customWidth="1" style="108" min="13" max="14"/>
    <col width="15.109375" customWidth="1" style="108" min="15" max="15"/>
    <col width="14.6640625" customWidth="1" style="108" min="16" max="16"/>
    <col width="15.109375" customWidth="1" style="108" min="17" max="17"/>
    <col width="15.109375" bestFit="1" customWidth="1" style="108" min="18" max="19"/>
    <col width="14.6640625" customWidth="1" style="108" min="20" max="20"/>
    <col width="15.109375" customWidth="1" style="108" min="21" max="21"/>
    <col width="14.44140625" customWidth="1" style="108" min="22" max="22"/>
    <col width="15" customWidth="1" style="108" min="23" max="26"/>
    <col width="14.88671875" customWidth="1" style="108" min="27" max="28"/>
    <col width="14" customWidth="1" style="108" min="29" max="29"/>
    <col width="19" bestFit="1" customWidth="1" style="108" min="30" max="30"/>
    <col width="9.109375" customWidth="1" style="108" min="31" max="31"/>
    <col width="10.33203125" bestFit="1" customWidth="1" style="108" min="32" max="32"/>
    <col width="20" customWidth="1" style="108" min="33" max="33"/>
    <col width="10.33203125" bestFit="1" customWidth="1" style="108" min="34" max="34"/>
    <col width="9.109375" customWidth="1" style="108" min="35" max="35"/>
    <col width="10.33203125" bestFit="1" customWidth="1" style="108" min="36" max="37"/>
    <col width="9.109375" customWidth="1" style="108" min="38" max="38"/>
    <col width="10.33203125" bestFit="1" customWidth="1" style="108" min="39" max="39"/>
    <col width="9.109375" customWidth="1" style="108" min="40" max="16384"/>
  </cols>
  <sheetData>
    <row r="1" ht="30" customHeight="1">
      <c r="A1" s="104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106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</row>
    <row r="2" ht="30" customHeight="1" thickBot="1">
      <c r="A2" s="109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111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  <c r="V2" s="107" t="n"/>
      <c r="W2" s="107" t="n"/>
      <c r="X2" s="107" t="n"/>
      <c r="Y2" s="107" t="n"/>
      <c r="Z2" s="107" t="n"/>
      <c r="AA2" s="107" t="n"/>
      <c r="AB2" s="107" t="n"/>
      <c r="AC2" s="107" t="n"/>
      <c r="AD2" s="107" t="n"/>
      <c r="AE2" s="107" t="n"/>
      <c r="AF2" s="107" t="n"/>
      <c r="AG2" s="107" t="n"/>
      <c r="AH2" s="107" t="n"/>
      <c r="AI2" s="107" t="n"/>
      <c r="AJ2" s="107" t="n"/>
      <c r="AK2" s="107" t="n"/>
      <c r="AL2" s="107" t="n"/>
      <c r="AM2" s="107" t="n"/>
      <c r="AN2" s="107" t="n"/>
      <c r="AO2" s="107" t="n"/>
      <c r="AP2" s="107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</row>
    <row r="4" ht="21" customHeigh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2" t="n"/>
      <c r="K4" s="112" t="n"/>
      <c r="L4" s="112" t="n"/>
      <c r="M4" s="102" t="inlineStr">
        <is>
          <t>total</t>
        </is>
      </c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63" t="n"/>
      <c r="AC4" s="162" t="n"/>
      <c r="AD4" s="113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</row>
    <row r="5" ht="21" customFormat="1" customHeight="1" s="116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114" t="n"/>
      <c r="L5" s="114" t="n"/>
      <c r="M5" s="103" t="n">
        <v>46204</v>
      </c>
      <c r="N5" s="103" t="n">
        <v>46205</v>
      </c>
      <c r="O5" s="103" t="n">
        <v>46206</v>
      </c>
      <c r="P5" s="103" t="n">
        <v>46207</v>
      </c>
      <c r="Q5" s="103" t="n">
        <v>46208</v>
      </c>
      <c r="R5" s="103" t="n">
        <v>46209</v>
      </c>
      <c r="S5" s="103" t="n">
        <v>46210</v>
      </c>
      <c r="T5" s="103" t="n">
        <v>46211</v>
      </c>
      <c r="U5" s="103" t="n">
        <v>46212</v>
      </c>
      <c r="V5" s="103" t="n">
        <v>46213</v>
      </c>
      <c r="W5" s="103" t="n">
        <v>46214</v>
      </c>
      <c r="X5" s="103" t="n">
        <v>46215</v>
      </c>
      <c r="Y5" s="103" t="n">
        <v>46216</v>
      </c>
      <c r="Z5" s="103" t="n">
        <v>46217</v>
      </c>
      <c r="AA5" s="103" t="n">
        <v>46218</v>
      </c>
      <c r="AB5" s="103" t="n"/>
      <c r="AC5" s="83" t="inlineStr">
        <is>
          <t>TOTAL</t>
        </is>
      </c>
      <c r="AD5" s="115" t="n"/>
      <c r="AE5" s="115" t="n"/>
      <c r="AF5" s="115" t="n"/>
      <c r="AG5" s="115" t="n"/>
      <c r="AH5" s="115" t="n"/>
      <c r="AI5" s="115" t="n"/>
      <c r="AJ5" s="115" t="n"/>
      <c r="AK5" s="115" t="n"/>
      <c r="AL5" s="115" t="n"/>
      <c r="AM5" s="115" t="n"/>
      <c r="AN5" s="115" t="n"/>
      <c r="AO5" s="115" t="n"/>
    </row>
    <row r="6" ht="21" customFormat="1" customHeight="1" s="116">
      <c r="A6" s="83" t="inlineStr">
        <is>
          <t>FRANCA</t>
        </is>
      </c>
      <c r="B6" s="117" t="inlineStr">
        <is>
          <t>CHAPA_06</t>
        </is>
      </c>
      <c r="C6" s="118">
        <f>AC6</f>
        <v/>
      </c>
      <c r="D6" s="118">
        <f>C6*0.1818</f>
        <v/>
      </c>
      <c r="E6" s="118">
        <f>SUM(C6:D6)</f>
        <v/>
      </c>
      <c r="F6" s="118">
        <f>E6*0.1111</f>
        <v/>
      </c>
      <c r="G6" s="118">
        <f>E6*0.083</f>
        <v/>
      </c>
      <c r="H6" s="118">
        <f>SUM(E6:G6)*0.08</f>
        <v/>
      </c>
      <c r="I6" s="118">
        <f>IF(E6&lt;=$F$67,E6*$G$67,IF(E6&lt;=$F$68,E6*$G$68,IF(E6&lt;=$F$69,E6*$G$69,513.0125)))</f>
        <v/>
      </c>
      <c r="J6" s="22" t="n"/>
      <c r="K6" s="114" t="n"/>
      <c r="L6" s="114" t="n"/>
      <c r="M6" s="32" t="n">
        <v>121</v>
      </c>
      <c r="N6" s="32" t="n">
        <v>112.76</v>
      </c>
      <c r="O6" s="32" t="n">
        <v>0</v>
      </c>
      <c r="P6" s="32" t="n">
        <v>0</v>
      </c>
      <c r="Q6" s="32" t="n">
        <v>0</v>
      </c>
      <c r="R6" s="32" t="n">
        <v>146.2</v>
      </c>
      <c r="S6" s="32" t="n">
        <v>112.76</v>
      </c>
      <c r="T6" s="32" t="n">
        <v>0</v>
      </c>
      <c r="U6" s="32" t="n">
        <v>0</v>
      </c>
      <c r="V6" s="32" t="n">
        <v>51.25</v>
      </c>
      <c r="W6" s="32" t="n">
        <v>0</v>
      </c>
      <c r="X6" s="32" t="n">
        <v>0</v>
      </c>
      <c r="Y6" s="32" t="n">
        <v>112.76</v>
      </c>
      <c r="Z6" s="32" t="n">
        <v>112.76</v>
      </c>
      <c r="AA6" s="32" t="n">
        <v>112.76</v>
      </c>
      <c r="AB6" s="32" t="n"/>
      <c r="AC6" s="33">
        <f>SUM(M6:AB6)</f>
        <v/>
      </c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</row>
    <row r="7" ht="21" customFormat="1" customHeight="1" s="116">
      <c r="A7" s="83" t="inlineStr">
        <is>
          <t>FRANCA</t>
        </is>
      </c>
      <c r="B7" s="117" t="inlineStr">
        <is>
          <t>CHAPA_14</t>
        </is>
      </c>
      <c r="C7" s="118">
        <f>AC7</f>
        <v/>
      </c>
      <c r="D7" s="118">
        <f>C7*0.1818</f>
        <v/>
      </c>
      <c r="E7" s="118">
        <f>SUM(C7:D7)</f>
        <v/>
      </c>
      <c r="F7" s="118">
        <f>E7*0.1111</f>
        <v/>
      </c>
      <c r="G7" s="118">
        <f>E7*0.083</f>
        <v/>
      </c>
      <c r="H7" s="118">
        <f>SUM(E7:G7)*0.08</f>
        <v/>
      </c>
      <c r="I7" s="118">
        <f>IF(E7&lt;=$F$67,E7*$G$67,IF(E7&lt;=$F$68,E7*$G$68,IF(E7&lt;=$F$69,E7*$G$69,513.0125)))</f>
        <v/>
      </c>
      <c r="J7" s="22" t="n"/>
      <c r="K7" s="119" t="n"/>
      <c r="L7" s="114" t="n"/>
      <c r="M7" s="32" t="n">
        <v>110.74</v>
      </c>
      <c r="N7" s="32" t="n">
        <v>112.76</v>
      </c>
      <c r="O7" s="32" t="n">
        <v>112.76</v>
      </c>
      <c r="P7" s="32" t="n">
        <v>51.25</v>
      </c>
      <c r="Q7" s="32" t="n">
        <v>0</v>
      </c>
      <c r="R7" s="32" t="n">
        <v>0</v>
      </c>
      <c r="S7" s="32" t="n">
        <v>112.76</v>
      </c>
      <c r="T7" s="32" t="n">
        <v>102.51</v>
      </c>
      <c r="U7" s="32" t="n">
        <v>0</v>
      </c>
      <c r="V7" s="32" t="n">
        <v>70.45</v>
      </c>
      <c r="W7" s="32" t="n">
        <v>51.25</v>
      </c>
      <c r="X7" s="32" t="n">
        <v>0</v>
      </c>
      <c r="Y7" s="32" t="n">
        <v>112.76</v>
      </c>
      <c r="Z7" s="32" t="n">
        <v>112.76</v>
      </c>
      <c r="AA7" s="32" t="n">
        <v>112.76</v>
      </c>
      <c r="AB7" s="32" t="n"/>
      <c r="AC7" s="33">
        <f>SUM(M7:AB7)</f>
        <v/>
      </c>
      <c r="AD7" s="115" t="n"/>
      <c r="AE7" s="115" t="n"/>
      <c r="AF7" s="115" t="n"/>
      <c r="AG7" s="115" t="n"/>
      <c r="AH7" s="115" t="n"/>
      <c r="AI7" s="115" t="n"/>
      <c r="AJ7" s="115" t="n"/>
      <c r="AK7" s="115" t="n"/>
      <c r="AL7" s="115" t="n"/>
      <c r="AM7" s="115" t="n"/>
      <c r="AN7" s="115" t="n"/>
      <c r="AO7" s="115" t="n"/>
    </row>
    <row r="8" ht="21" customFormat="1" customHeight="1" s="116">
      <c r="A8" s="83" t="inlineStr">
        <is>
          <t>FRANCA</t>
        </is>
      </c>
      <c r="B8" s="120" t="inlineStr">
        <is>
          <t>CHAPA_15</t>
        </is>
      </c>
      <c r="C8" s="118">
        <f>AC8</f>
        <v/>
      </c>
      <c r="D8" s="118">
        <f>C8*0.1818</f>
        <v/>
      </c>
      <c r="E8" s="118">
        <f>SUM(C8:D8)</f>
        <v/>
      </c>
      <c r="F8" s="118">
        <f>E8*0.1111</f>
        <v/>
      </c>
      <c r="G8" s="118">
        <f>E8*0.083</f>
        <v/>
      </c>
      <c r="H8" s="118">
        <f>SUM(E8:G8)*0.08</f>
        <v/>
      </c>
      <c r="I8" s="118">
        <f>IF(E8&lt;=$F$67,E8*$G$67,IF(E8&lt;=$F$68,E8*$G$68,IF(E8&lt;=$F$69,E8*$G$69,513.0125)))</f>
        <v/>
      </c>
      <c r="J8" s="22" t="n"/>
      <c r="K8" s="114" t="n"/>
      <c r="L8" s="114" t="n"/>
      <c r="M8" s="32" t="n">
        <v>121</v>
      </c>
      <c r="N8" s="32" t="n">
        <v>102.51</v>
      </c>
      <c r="O8" s="32" t="n">
        <v>112.76</v>
      </c>
      <c r="P8" s="32" t="n">
        <v>0</v>
      </c>
      <c r="Q8" s="32" t="n">
        <v>0</v>
      </c>
      <c r="R8" s="32" t="n">
        <v>146.2</v>
      </c>
      <c r="S8" s="32" t="n">
        <v>112.76</v>
      </c>
      <c r="T8" s="32" t="n">
        <v>102.51</v>
      </c>
      <c r="U8" s="32" t="n">
        <v>0</v>
      </c>
      <c r="V8" s="32" t="n">
        <v>112.76</v>
      </c>
      <c r="W8" s="32" t="n">
        <v>51.25</v>
      </c>
      <c r="X8" s="32" t="n">
        <v>0</v>
      </c>
      <c r="Y8" s="32" t="n">
        <v>112.76</v>
      </c>
      <c r="Z8" s="32" t="n">
        <v>112.76</v>
      </c>
      <c r="AA8" s="32" t="n">
        <v>112.76</v>
      </c>
      <c r="AB8" s="32" t="n"/>
      <c r="AC8" s="33">
        <f>SUM(M8:AB8)</f>
        <v/>
      </c>
      <c r="AD8" s="115" t="n"/>
      <c r="AE8" s="115" t="n"/>
      <c r="AF8" s="115" t="n"/>
      <c r="AG8" s="115" t="n"/>
      <c r="AH8" s="115" t="n"/>
      <c r="AI8" s="115" t="n"/>
      <c r="AJ8" s="115" t="n"/>
      <c r="AK8" s="115" t="n"/>
      <c r="AL8" s="115" t="n"/>
      <c r="AM8" s="115" t="n"/>
      <c r="AN8" s="115" t="n"/>
      <c r="AO8" s="115" t="n"/>
    </row>
    <row r="9" ht="21" customFormat="1" customHeight="1" s="116">
      <c r="A9" s="83" t="inlineStr">
        <is>
          <t>FRANCA</t>
        </is>
      </c>
      <c r="B9" s="121" t="inlineStr">
        <is>
          <t>CHAPA_17</t>
        </is>
      </c>
      <c r="C9" s="118">
        <f>AC9</f>
        <v/>
      </c>
      <c r="D9" s="118">
        <f>C9*0.1818</f>
        <v/>
      </c>
      <c r="E9" s="118">
        <f>SUM(C9:D9)</f>
        <v/>
      </c>
      <c r="F9" s="118">
        <f>E9*0.1111</f>
        <v/>
      </c>
      <c r="G9" s="118">
        <f>E9*0.083</f>
        <v/>
      </c>
      <c r="H9" s="118">
        <f>SUM(E9:G9)*0.08</f>
        <v/>
      </c>
      <c r="I9" s="118">
        <f>IF(E9&lt;=$F$67,E9*$G$67,IF(E9&lt;=$F$68,E9*$G$68,IF(E9&lt;=$F$69,E9*$G$69,513.0125)))</f>
        <v/>
      </c>
      <c r="J9" s="22" t="n"/>
      <c r="K9" s="114" t="n"/>
      <c r="L9" s="114" t="n"/>
      <c r="M9" s="32" t="n">
        <v>121</v>
      </c>
      <c r="N9" s="32" t="n">
        <v>112.76</v>
      </c>
      <c r="O9" s="32" t="n">
        <v>112.76</v>
      </c>
      <c r="P9" s="32" t="n">
        <v>0</v>
      </c>
      <c r="Q9" s="32" t="n">
        <v>0</v>
      </c>
      <c r="R9" s="32" t="n">
        <v>0</v>
      </c>
      <c r="S9" s="32" t="n">
        <v>112.76</v>
      </c>
      <c r="T9" s="32" t="n">
        <v>112.76</v>
      </c>
      <c r="U9" s="32" t="n">
        <v>0</v>
      </c>
      <c r="V9" s="32" t="n">
        <v>112.76</v>
      </c>
      <c r="W9" s="32" t="n">
        <v>51.26</v>
      </c>
      <c r="X9" s="32" t="n">
        <v>0</v>
      </c>
      <c r="Y9" s="32" t="n">
        <v>112.76</v>
      </c>
      <c r="Z9" s="32" t="n">
        <v>112.76</v>
      </c>
      <c r="AA9" s="32" t="n">
        <v>112.76</v>
      </c>
      <c r="AB9" s="32" t="n"/>
      <c r="AC9" s="33">
        <f>SUM(M9:AB9)</f>
        <v/>
      </c>
      <c r="AD9" s="115" t="n"/>
      <c r="AE9" s="115" t="n"/>
      <c r="AF9" s="115" t="n"/>
      <c r="AG9" s="115" t="n"/>
      <c r="AH9" s="115" t="n"/>
      <c r="AI9" s="115" t="n"/>
      <c r="AJ9" s="115" t="n"/>
      <c r="AK9" s="115" t="n"/>
      <c r="AL9" s="115" t="n"/>
      <c r="AM9" s="115" t="n"/>
      <c r="AN9" s="115" t="n"/>
      <c r="AO9" s="115" t="n"/>
    </row>
    <row r="10" ht="21" customFormat="1" customHeight="1" s="116">
      <c r="A10" s="83" t="inlineStr">
        <is>
          <t>FRANCA</t>
        </is>
      </c>
      <c r="B10" s="122" t="inlineStr">
        <is>
          <t>CHAPA_26</t>
        </is>
      </c>
      <c r="C10" s="118">
        <f>AC10</f>
        <v/>
      </c>
      <c r="D10" s="118">
        <f>C10*0.1818</f>
        <v/>
      </c>
      <c r="E10" s="118">
        <f>SUM(C10:D10)</f>
        <v/>
      </c>
      <c r="F10" s="118">
        <f>E10*0.1111</f>
        <v/>
      </c>
      <c r="G10" s="118">
        <f>E10*0.083</f>
        <v/>
      </c>
      <c r="H10" s="118">
        <f>SUM(E10:G10)*0.08</f>
        <v/>
      </c>
      <c r="I10" s="118">
        <f>IF(E10&lt;=$F$67,E10*$G$67,IF(E10&lt;=$F$68,E10*$G$68,IF(E10&lt;=$F$69,E10*$G$69,513.0125)))</f>
        <v/>
      </c>
      <c r="J10" s="22" t="n"/>
      <c r="K10" s="114" t="n"/>
      <c r="L10" s="114" t="n"/>
      <c r="M10" s="32" t="n">
        <v>121</v>
      </c>
      <c r="N10" s="32" t="n">
        <v>112.76</v>
      </c>
      <c r="O10" s="32" t="n">
        <v>112.76</v>
      </c>
      <c r="P10" s="32" t="n">
        <v>51.25</v>
      </c>
      <c r="Q10" s="32" t="n">
        <v>0</v>
      </c>
      <c r="R10" s="32" t="n">
        <v>146.2</v>
      </c>
      <c r="S10" s="32" t="n">
        <v>112.76</v>
      </c>
      <c r="T10" s="32" t="n">
        <v>112.76</v>
      </c>
      <c r="U10" s="32" t="n">
        <v>0</v>
      </c>
      <c r="V10" s="32" t="n">
        <v>112.76</v>
      </c>
      <c r="W10" s="32" t="n">
        <v>0</v>
      </c>
      <c r="X10" s="32" t="n">
        <v>0</v>
      </c>
      <c r="Y10" s="32" t="n">
        <v>112.76</v>
      </c>
      <c r="Z10" s="32" t="n">
        <v>112.76</v>
      </c>
      <c r="AA10" s="32" t="n">
        <v>112.76</v>
      </c>
      <c r="AB10" s="88" t="n"/>
      <c r="AC10" s="33">
        <f>SUM(M10:AB10)</f>
        <v/>
      </c>
      <c r="AD10" s="115" t="n"/>
      <c r="AE10" s="115" t="n"/>
      <c r="AF10" s="115" t="n"/>
      <c r="AG10" s="115" t="n"/>
      <c r="AH10" s="115" t="n"/>
      <c r="AI10" s="115" t="n"/>
      <c r="AJ10" s="115" t="n"/>
      <c r="AK10" s="115" t="n"/>
      <c r="AL10" s="115" t="n"/>
      <c r="AM10" s="115" t="n"/>
      <c r="AN10" s="115" t="n"/>
      <c r="AO10" s="115" t="n"/>
    </row>
    <row r="11" ht="21" customFormat="1" customHeight="1" s="116">
      <c r="A11" s="83" t="inlineStr">
        <is>
          <t>FRANCA</t>
        </is>
      </c>
      <c r="B11" s="120" t="inlineStr">
        <is>
          <t>CHAPA_38</t>
        </is>
      </c>
      <c r="C11" s="118">
        <f>AC11</f>
        <v/>
      </c>
      <c r="D11" s="118">
        <f>C11*0.1818</f>
        <v/>
      </c>
      <c r="E11" s="118">
        <f>SUM(C11:D11)</f>
        <v/>
      </c>
      <c r="F11" s="118">
        <f>E11*0.1111</f>
        <v/>
      </c>
      <c r="G11" s="118">
        <f>E11*0.083</f>
        <v/>
      </c>
      <c r="H11" s="118">
        <f>SUM(E11:G11)*0.08</f>
        <v/>
      </c>
      <c r="I11" s="118">
        <f>IF(E11&lt;=$F$67,E11*$G$67,IF(E11&lt;=$F$68,E11*$G$68,IF(E11&lt;=$F$69,E11*$G$69,513.0125)))</f>
        <v/>
      </c>
      <c r="J11" s="22" t="n"/>
      <c r="K11" s="114" t="n"/>
      <c r="L11" s="114" t="n"/>
      <c r="M11" s="32" t="n">
        <v>121</v>
      </c>
      <c r="N11" s="32" t="n">
        <v>112.76</v>
      </c>
      <c r="O11" s="32" t="n">
        <v>112.76</v>
      </c>
      <c r="P11" s="32" t="n">
        <v>51.25</v>
      </c>
      <c r="Q11" s="32" t="n">
        <v>0</v>
      </c>
      <c r="R11" s="32" t="n">
        <v>146.2</v>
      </c>
      <c r="S11" s="32" t="n">
        <v>112.76</v>
      </c>
      <c r="T11" s="32" t="n">
        <v>112.76</v>
      </c>
      <c r="U11" s="32" t="n">
        <v>0</v>
      </c>
      <c r="V11" s="32" t="n">
        <v>83.28</v>
      </c>
      <c r="W11" s="32" t="n">
        <v>51.26</v>
      </c>
      <c r="X11" s="32" t="n">
        <v>0</v>
      </c>
      <c r="Y11" s="32" t="n">
        <v>112.76</v>
      </c>
      <c r="Z11" s="32" t="n">
        <v>112.76</v>
      </c>
      <c r="AA11" s="32" t="n">
        <v>112.76</v>
      </c>
      <c r="AB11" s="32" t="n"/>
      <c r="AC11" s="33">
        <f>SUM(M11:AB11)</f>
        <v/>
      </c>
      <c r="AD11" s="115" t="n"/>
      <c r="AE11" s="115" t="n"/>
      <c r="AF11" s="115" t="n"/>
      <c r="AG11" s="115" t="n"/>
      <c r="AH11" s="115" t="n"/>
      <c r="AI11" s="115" t="n"/>
      <c r="AJ11" s="115" t="n"/>
      <c r="AK11" s="115" t="n"/>
      <c r="AL11" s="115" t="n"/>
      <c r="AM11" s="115" t="n"/>
      <c r="AN11" s="115" t="n"/>
      <c r="AO11" s="115" t="n"/>
    </row>
    <row r="12" ht="21" customFormat="1" customHeight="1" s="116">
      <c r="A12" s="83" t="inlineStr">
        <is>
          <t>FRANCA</t>
        </is>
      </c>
      <c r="B12" s="120" t="inlineStr">
        <is>
          <t>CHAPA_41</t>
        </is>
      </c>
      <c r="C12" s="118">
        <f>AC12</f>
        <v/>
      </c>
      <c r="D12" s="118">
        <f>C12*0.1818</f>
        <v/>
      </c>
      <c r="E12" s="118">
        <f>SUM(C12:D12)</f>
        <v/>
      </c>
      <c r="F12" s="118">
        <f>E12*0.1111</f>
        <v/>
      </c>
      <c r="G12" s="118">
        <f>E12*0.083</f>
        <v/>
      </c>
      <c r="H12" s="118">
        <f>SUM(E12:G12)*0.08</f>
        <v/>
      </c>
      <c r="I12" s="118">
        <f>IF(E12&lt;=$F$67,E12*$G$67,IF(E12&lt;=$F$68,E12*$G$68,IF(E12&lt;=$F$69,E12*$G$69,513.0125)))</f>
        <v/>
      </c>
      <c r="J12" s="22" t="n"/>
      <c r="K12" s="114" t="n"/>
      <c r="L12" s="114" t="n"/>
      <c r="M12" s="32" t="n">
        <v>121</v>
      </c>
      <c r="N12" s="32" t="n">
        <v>112.76</v>
      </c>
      <c r="O12" s="32" t="n">
        <v>102.51</v>
      </c>
      <c r="P12" s="32" t="n">
        <v>51.26</v>
      </c>
      <c r="Q12" s="32" t="n">
        <v>0</v>
      </c>
      <c r="R12" s="32" t="n">
        <v>146.2</v>
      </c>
      <c r="S12" s="32" t="n">
        <v>112.76</v>
      </c>
      <c r="T12" s="32" t="n">
        <v>112.76</v>
      </c>
      <c r="U12" s="32" t="n">
        <v>0</v>
      </c>
      <c r="V12" s="32" t="n">
        <v>0</v>
      </c>
      <c r="W12" s="32" t="n">
        <v>0</v>
      </c>
      <c r="X12" s="32" t="n">
        <v>0</v>
      </c>
      <c r="Y12" s="32" t="n">
        <v>112.76</v>
      </c>
      <c r="Z12" s="32" t="n">
        <v>112.76</v>
      </c>
      <c r="AA12" s="32" t="n">
        <v>112.76</v>
      </c>
      <c r="AB12" s="32" t="n"/>
      <c r="AC12" s="33">
        <f>SUM(M12:AB12)</f>
        <v/>
      </c>
      <c r="AD12" s="115" t="n"/>
      <c r="AE12" s="115" t="n"/>
      <c r="AF12" s="115" t="n"/>
      <c r="AG12" s="115" t="n"/>
      <c r="AH12" s="115" t="n"/>
      <c r="AI12" s="115" t="n"/>
      <c r="AJ12" s="115" t="n"/>
      <c r="AK12" s="115" t="n"/>
      <c r="AL12" s="115" t="n"/>
      <c r="AM12" s="115" t="n"/>
      <c r="AN12" s="115" t="n"/>
      <c r="AO12" s="115" t="n"/>
    </row>
    <row r="13" ht="21" customFormat="1" customHeight="1" s="116">
      <c r="A13" s="83" t="inlineStr">
        <is>
          <t>FRANCA</t>
        </is>
      </c>
      <c r="B13" s="120" t="inlineStr">
        <is>
          <t>CHAPA_43</t>
        </is>
      </c>
      <c r="C13" s="118">
        <f>AC13</f>
        <v/>
      </c>
      <c r="D13" s="118">
        <f>C13*0.1818</f>
        <v/>
      </c>
      <c r="E13" s="118">
        <f>SUM(C13:D13)</f>
        <v/>
      </c>
      <c r="F13" s="118">
        <f>E13*0.1111</f>
        <v/>
      </c>
      <c r="G13" s="118">
        <f>E13*0.083</f>
        <v/>
      </c>
      <c r="H13" s="118">
        <f>SUM(E13:G13)*0.08</f>
        <v/>
      </c>
      <c r="I13" s="118">
        <f>IF(E13&lt;=$F$67,E13*$G$67,IF(E13&lt;=$F$68,E13*$G$68,IF(E13&lt;=$F$69,E13*$G$69,513.0125)))</f>
        <v/>
      </c>
      <c r="J13" s="22" t="n"/>
      <c r="K13" s="114" t="n"/>
      <c r="L13" s="114" t="n"/>
      <c r="M13" s="32" t="n">
        <v>121</v>
      </c>
      <c r="N13" s="32" t="n">
        <v>112.76</v>
      </c>
      <c r="O13" s="32" t="n">
        <v>112.76</v>
      </c>
      <c r="P13" s="32" t="n">
        <v>44.85</v>
      </c>
      <c r="Q13" s="32" t="n">
        <v>0</v>
      </c>
      <c r="R13" s="32" t="n">
        <v>146.2</v>
      </c>
      <c r="S13" s="32" t="n">
        <v>112.76</v>
      </c>
      <c r="T13" s="32" t="n">
        <v>112.76</v>
      </c>
      <c r="U13" s="32" t="n">
        <v>0</v>
      </c>
      <c r="V13" s="32" t="n">
        <v>112.76</v>
      </c>
      <c r="W13" s="32" t="n">
        <v>38.44</v>
      </c>
      <c r="X13" s="32" t="n">
        <v>0</v>
      </c>
      <c r="Y13" s="32" t="n">
        <v>112.76</v>
      </c>
      <c r="Z13" s="32" t="n">
        <v>112.76</v>
      </c>
      <c r="AA13" s="32" t="n">
        <v>112.76</v>
      </c>
      <c r="AB13" s="32" t="n"/>
      <c r="AC13" s="33">
        <f>SUM(M13:AB13)</f>
        <v/>
      </c>
      <c r="AD13" s="115" t="n"/>
      <c r="AE13" s="115" t="n"/>
      <c r="AF13" s="115" t="n"/>
      <c r="AG13" s="115" t="n"/>
      <c r="AH13" s="115" t="n"/>
      <c r="AI13" s="115" t="n"/>
      <c r="AJ13" s="115" t="n"/>
      <c r="AK13" s="115" t="n"/>
      <c r="AL13" s="115" t="n"/>
      <c r="AM13" s="115" t="n"/>
      <c r="AN13" s="115" t="n"/>
      <c r="AO13" s="115" t="n"/>
    </row>
    <row r="14" ht="21" customFormat="1" customHeight="1" s="116">
      <c r="A14" s="83" t="inlineStr">
        <is>
          <t>FRANCA</t>
        </is>
      </c>
      <c r="B14" s="117" t="inlineStr">
        <is>
          <t>CHAPA_46</t>
        </is>
      </c>
      <c r="C14" s="118">
        <f>AC14</f>
        <v/>
      </c>
      <c r="D14" s="118">
        <f>C14*0.1818</f>
        <v/>
      </c>
      <c r="E14" s="118">
        <f>SUM(C14:D14)</f>
        <v/>
      </c>
      <c r="F14" s="118">
        <f>E14*0.1111</f>
        <v/>
      </c>
      <c r="G14" s="118">
        <f>E14*0.083</f>
        <v/>
      </c>
      <c r="H14" s="118">
        <f>SUM(E14:G14)*0.08</f>
        <v/>
      </c>
      <c r="I14" s="118">
        <f>IF(E14&lt;=$F$67,E14*$G$67,IF(E14&lt;=$F$68,E14*$G$68,IF(E14&lt;=$F$69,E14*$G$69,513.0125)))</f>
        <v/>
      </c>
      <c r="J14" s="22" t="n"/>
      <c r="K14" s="114" t="n"/>
      <c r="L14" s="114" t="n"/>
      <c r="M14" s="32" t="n">
        <v>121</v>
      </c>
      <c r="N14" s="32" t="n">
        <v>112.76</v>
      </c>
      <c r="O14" s="32" t="n">
        <v>112.76</v>
      </c>
      <c r="P14" s="32" t="n">
        <v>0</v>
      </c>
      <c r="Q14" s="32" t="n">
        <v>0</v>
      </c>
      <c r="R14" s="32" t="n">
        <v>146.2</v>
      </c>
      <c r="S14" s="32" t="n">
        <v>112.76</v>
      </c>
      <c r="T14" s="32" t="n">
        <v>112.76</v>
      </c>
      <c r="U14" s="32" t="n">
        <v>0</v>
      </c>
      <c r="V14" s="32" t="n">
        <v>112.76</v>
      </c>
      <c r="W14" s="32" t="n">
        <v>51.26</v>
      </c>
      <c r="X14" s="32" t="n">
        <v>0</v>
      </c>
      <c r="Y14" s="32" t="n">
        <v>112.76</v>
      </c>
      <c r="Z14" s="32" t="n">
        <v>112.76</v>
      </c>
      <c r="AA14" s="32" t="n">
        <v>112.76</v>
      </c>
      <c r="AB14" s="32" t="n"/>
      <c r="AC14" s="33">
        <f>SUM(M14:AB14)</f>
        <v/>
      </c>
      <c r="AD14" s="115" t="n"/>
      <c r="AE14" s="115" t="n"/>
      <c r="AF14" s="115" t="n"/>
      <c r="AG14" s="115" t="n"/>
      <c r="AH14" s="115" t="n"/>
      <c r="AI14" s="115" t="n"/>
      <c r="AJ14" s="115" t="n"/>
      <c r="AK14" s="115" t="n"/>
      <c r="AL14" s="115" t="n"/>
      <c r="AM14" s="115" t="n"/>
      <c r="AN14" s="115" t="n"/>
      <c r="AO14" s="115" t="n"/>
    </row>
    <row r="15" ht="21" customFormat="1" customHeight="1" s="116">
      <c r="A15" s="83" t="inlineStr">
        <is>
          <t>FRANCA</t>
        </is>
      </c>
      <c r="B15" s="120" t="n"/>
      <c r="C15" s="118">
        <f>AC15</f>
        <v/>
      </c>
      <c r="D15" s="118">
        <f>C15*0.1818</f>
        <v/>
      </c>
      <c r="E15" s="118">
        <f>SUM(C15:D15)</f>
        <v/>
      </c>
      <c r="F15" s="118">
        <f>E15*0.1111</f>
        <v/>
      </c>
      <c r="G15" s="118">
        <f>E15*0.083</f>
        <v/>
      </c>
      <c r="H15" s="118">
        <f>SUM(E15:G15)*0.08</f>
        <v/>
      </c>
      <c r="I15" s="118">
        <f>IF(E15&lt;=$F$67,E15*$G$67,IF(E15&lt;=$F$68,E15*$G$68,IF(E15&lt;=$F$69,E15*$G$69,513.0125)))</f>
        <v/>
      </c>
      <c r="J15" s="22" t="n"/>
      <c r="K15" s="114" t="n"/>
      <c r="L15" s="114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3">
        <f>SUM(M15:AB15)</f>
        <v/>
      </c>
      <c r="AD15" s="115" t="n"/>
      <c r="AE15" s="115" t="n"/>
      <c r="AF15" s="115" t="n"/>
      <c r="AG15" s="115" t="n"/>
      <c r="AH15" s="115" t="n"/>
      <c r="AI15" s="115" t="n"/>
      <c r="AJ15" s="115" t="n"/>
      <c r="AK15" s="115" t="n"/>
      <c r="AL15" s="115" t="n"/>
      <c r="AM15" s="115" t="n"/>
      <c r="AN15" s="115" t="n"/>
      <c r="AO15" s="115" t="n"/>
    </row>
    <row r="16" ht="21" customFormat="1" customHeight="1" s="116">
      <c r="A16" s="83" t="inlineStr">
        <is>
          <t>FRANCA</t>
        </is>
      </c>
      <c r="B16" s="117" t="n"/>
      <c r="C16" s="118">
        <f>AC16</f>
        <v/>
      </c>
      <c r="D16" s="118">
        <f>C16*0.1818</f>
        <v/>
      </c>
      <c r="E16" s="118">
        <f>SUM(C16:D16)</f>
        <v/>
      </c>
      <c r="F16" s="118">
        <f>E16*0.1111</f>
        <v/>
      </c>
      <c r="G16" s="118">
        <f>E16*0.083</f>
        <v/>
      </c>
      <c r="H16" s="118">
        <f>SUM(E16:G16)*0.08</f>
        <v/>
      </c>
      <c r="I16" s="118">
        <f>IF(E16&lt;=$F$67,E16*$G$67,IF(E16&lt;=$F$68,E16*$G$68,IF(E16&lt;=$F$69,E16*$G$69,513.0125)))</f>
        <v/>
      </c>
      <c r="J16" s="22" t="n"/>
      <c r="K16" s="114" t="n"/>
      <c r="L16" s="114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3">
        <f>SUM(M16:AB16)</f>
        <v/>
      </c>
      <c r="AD16" s="115" t="n"/>
      <c r="AE16" s="115" t="n"/>
      <c r="AF16" s="115" t="n"/>
      <c r="AG16" s="115" t="n"/>
      <c r="AH16" s="115" t="n"/>
      <c r="AI16" s="115" t="n"/>
      <c r="AJ16" s="115" t="n"/>
      <c r="AK16" s="115" t="n"/>
      <c r="AL16" s="115" t="n"/>
      <c r="AM16" s="115" t="n"/>
      <c r="AN16" s="115" t="n"/>
      <c r="AO16" s="115" t="n"/>
    </row>
    <row r="17" ht="21" customFormat="1" customHeight="1" s="116">
      <c r="A17" s="83" t="inlineStr">
        <is>
          <t>FRANCA</t>
        </is>
      </c>
      <c r="B17" s="123" t="n"/>
      <c r="C17" s="118">
        <f>AC17</f>
        <v/>
      </c>
      <c r="D17" s="118">
        <f>C17*0.1818</f>
        <v/>
      </c>
      <c r="E17" s="118">
        <f>SUM(C17:D17)</f>
        <v/>
      </c>
      <c r="F17" s="118">
        <f>E17*0.1111</f>
        <v/>
      </c>
      <c r="G17" s="118">
        <f>E17*0.083</f>
        <v/>
      </c>
      <c r="H17" s="118">
        <f>SUM(E17:G17)*0.08</f>
        <v/>
      </c>
      <c r="I17" s="118">
        <f>IF(E17&lt;=$F$67,E17*$G$67,IF(E17&lt;=$F$68,E17*$G$68,IF(E17&lt;=$F$69,E17*$G$69,513.0125)))</f>
        <v/>
      </c>
      <c r="J17" s="22" t="n"/>
      <c r="K17" s="114" t="n"/>
      <c r="L17" s="114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SUM(M17:AB17)</f>
        <v/>
      </c>
      <c r="AD17" s="115" t="n"/>
      <c r="AE17" s="115" t="n"/>
      <c r="AF17" s="115" t="n"/>
      <c r="AG17" s="115" t="n"/>
      <c r="AH17" s="115" t="n"/>
      <c r="AI17" s="115" t="n"/>
      <c r="AJ17" s="115" t="n"/>
      <c r="AK17" s="115" t="n"/>
      <c r="AL17" s="115" t="n"/>
      <c r="AM17" s="115" t="n"/>
      <c r="AN17" s="115" t="n"/>
      <c r="AO17" s="115" t="n"/>
    </row>
    <row r="18" ht="21" customFormat="1" customHeight="1" s="116">
      <c r="A18" s="83" t="inlineStr">
        <is>
          <t>FRANCA</t>
        </is>
      </c>
      <c r="B18" s="123" t="n"/>
      <c r="C18" s="118">
        <f>AC18</f>
        <v/>
      </c>
      <c r="D18" s="118">
        <f>C18*0.1818</f>
        <v/>
      </c>
      <c r="E18" s="118">
        <f>SUM(C18:D18)</f>
        <v/>
      </c>
      <c r="F18" s="118">
        <f>E18*0.1111</f>
        <v/>
      </c>
      <c r="G18" s="118">
        <f>E18*0.083</f>
        <v/>
      </c>
      <c r="H18" s="118">
        <f>SUM(E18:G18)*0.08</f>
        <v/>
      </c>
      <c r="I18" s="118">
        <f>IF(E18&lt;=$F$67,E18*$G$67,IF(E18&lt;=$F$68,E18*$G$68,IF(E18&lt;=$F$69,E18*$G$69,513.0125)))</f>
        <v/>
      </c>
      <c r="J18" s="22" t="n"/>
      <c r="K18" s="114" t="n"/>
      <c r="L18" s="114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SUM(M18:AB18)</f>
        <v/>
      </c>
      <c r="AD18" s="115" t="n"/>
      <c r="AE18" s="115" t="n"/>
      <c r="AF18" s="115" t="n"/>
      <c r="AG18" s="115" t="n"/>
      <c r="AH18" s="115" t="n"/>
      <c r="AI18" s="115" t="n"/>
      <c r="AJ18" s="115" t="n"/>
      <c r="AK18" s="115" t="n"/>
      <c r="AL18" s="115" t="n"/>
      <c r="AM18" s="115" t="n"/>
      <c r="AN18" s="115" t="n"/>
      <c r="AO18" s="115" t="n"/>
    </row>
    <row r="19" ht="21" customFormat="1" customHeight="1" s="116">
      <c r="A19" s="83" t="inlineStr">
        <is>
          <t>FRANCA</t>
        </is>
      </c>
      <c r="B19" s="120" t="n"/>
      <c r="C19" s="118">
        <f>AC19</f>
        <v/>
      </c>
      <c r="D19" s="118">
        <f>C19*0.1818</f>
        <v/>
      </c>
      <c r="E19" s="118">
        <f>SUM(C19:D19)</f>
        <v/>
      </c>
      <c r="F19" s="118">
        <f>E19*0.1111</f>
        <v/>
      </c>
      <c r="G19" s="118">
        <f>E19*0.083</f>
        <v/>
      </c>
      <c r="H19" s="118">
        <f>SUM(E19:G19)*0.08</f>
        <v/>
      </c>
      <c r="I19" s="118">
        <f>IF(E19&lt;=$F$67,E19*$G$67,IF(E19&lt;=$F$68,E19*$G$68,IF(E19&lt;=$F$69,E19*$G$69,513.0125)))</f>
        <v/>
      </c>
      <c r="J19" s="22" t="n"/>
      <c r="K19" s="114" t="n"/>
      <c r="L19" s="114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SUM(M19:AB19)</f>
        <v/>
      </c>
      <c r="AD19" s="115" t="n"/>
      <c r="AE19" s="115" t="n"/>
      <c r="AF19" s="115" t="n"/>
      <c r="AG19" s="115" t="n"/>
      <c r="AH19" s="115" t="n"/>
      <c r="AI19" s="115" t="n"/>
      <c r="AJ19" s="115" t="n"/>
      <c r="AK19" s="115" t="n"/>
      <c r="AL19" s="115" t="n"/>
      <c r="AM19" s="115" t="n"/>
      <c r="AN19" s="115" t="n"/>
      <c r="AO19" s="115" t="n"/>
    </row>
    <row r="20" ht="21" customFormat="1" customHeight="1" s="116">
      <c r="A20" s="83" t="inlineStr">
        <is>
          <t>FRANCA</t>
        </is>
      </c>
      <c r="B20" s="120" t="n"/>
      <c r="C20" s="118">
        <f>AC20</f>
        <v/>
      </c>
      <c r="D20" s="118">
        <f>C20*0.1818</f>
        <v/>
      </c>
      <c r="E20" s="118">
        <f>SUM(C20:D20)</f>
        <v/>
      </c>
      <c r="F20" s="118">
        <f>E20*0.1111</f>
        <v/>
      </c>
      <c r="G20" s="118">
        <f>E20*0.083</f>
        <v/>
      </c>
      <c r="H20" s="118">
        <f>SUM(E20:G20)*0.08</f>
        <v/>
      </c>
      <c r="I20" s="118">
        <f>IF(E20&lt;=$F$67,E20*$G$67,IF(E20&lt;=$F$68,E20*$G$68,IF(E20&lt;=$F$69,E20*$G$69,513.0125)))</f>
        <v/>
      </c>
      <c r="J20" s="22" t="n"/>
      <c r="K20" s="114" t="n"/>
      <c r="L20" s="114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SUM(M20:AB20)</f>
        <v/>
      </c>
      <c r="AD20" s="115" t="n"/>
      <c r="AE20" s="115" t="n"/>
      <c r="AF20" s="115" t="n"/>
      <c r="AG20" s="115" t="n"/>
      <c r="AH20" s="115" t="n"/>
      <c r="AI20" s="115" t="n"/>
      <c r="AJ20" s="115" t="n"/>
      <c r="AK20" s="115" t="n"/>
      <c r="AL20" s="115" t="n"/>
      <c r="AM20" s="115" t="n"/>
      <c r="AN20" s="115" t="n"/>
      <c r="AO20" s="115" t="n"/>
    </row>
    <row r="21" ht="21" customFormat="1" customHeight="1" s="116">
      <c r="A21" s="83" t="inlineStr">
        <is>
          <t>FRANCA</t>
        </is>
      </c>
      <c r="B21" s="122" t="n"/>
      <c r="C21" s="118">
        <f>AC21</f>
        <v/>
      </c>
      <c r="D21" s="118">
        <f>C21*0.1818</f>
        <v/>
      </c>
      <c r="E21" s="118">
        <f>SUM(C21:D21)</f>
        <v/>
      </c>
      <c r="F21" s="118">
        <f>E21*0.1111</f>
        <v/>
      </c>
      <c r="G21" s="118">
        <f>E21*0.083</f>
        <v/>
      </c>
      <c r="H21" s="118">
        <f>SUM(E21:G21)*0.08</f>
        <v/>
      </c>
      <c r="I21" s="118">
        <f>IF(E21&lt;=$F$67,E21*$G$67,IF(E21&lt;=$F$68,E21*$G$68,IF(E21&lt;=$F$69,E21*$G$69,513.0125)))</f>
        <v/>
      </c>
      <c r="J21" s="22" t="n"/>
      <c r="K21" s="114" t="n"/>
      <c r="L21" s="114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SUM(M21:AB21)</f>
        <v/>
      </c>
      <c r="AD21" s="115" t="n"/>
      <c r="AE21" s="115" t="n"/>
      <c r="AF21" s="115" t="n"/>
      <c r="AG21" s="115" t="n"/>
      <c r="AH21" s="115" t="n"/>
      <c r="AI21" s="115" t="n"/>
      <c r="AJ21" s="115" t="n"/>
      <c r="AK21" s="115" t="n"/>
      <c r="AL21" s="115" t="n"/>
      <c r="AM21" s="115" t="n"/>
      <c r="AN21" s="115" t="n"/>
      <c r="AO21" s="115" t="n"/>
    </row>
    <row r="22" ht="21" customFormat="1" customHeight="1" s="116">
      <c r="A22" s="83" t="inlineStr">
        <is>
          <t>FRANCA</t>
        </is>
      </c>
      <c r="B22" s="122" t="n"/>
      <c r="C22" s="118">
        <f>AC22</f>
        <v/>
      </c>
      <c r="D22" s="118">
        <f>C22*0.1818</f>
        <v/>
      </c>
      <c r="E22" s="118">
        <f>SUM(C22:D22)</f>
        <v/>
      </c>
      <c r="F22" s="118">
        <f>E22*0.1111</f>
        <v/>
      </c>
      <c r="G22" s="118">
        <f>E22*0.083</f>
        <v/>
      </c>
      <c r="H22" s="118">
        <f>SUM(E22:G22)*0.08</f>
        <v/>
      </c>
      <c r="I22" s="118">
        <f>IF(E22&lt;=$F$67,E22*$G$67,IF(E22&lt;=$F$68,E22*$G$68,IF(E22&lt;=$F$69,E22*$G$69,513.0125)))</f>
        <v/>
      </c>
      <c r="J22" s="22" t="n"/>
      <c r="K22" s="114" t="n"/>
      <c r="L22" s="114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SUM(M22:AB22)</f>
        <v/>
      </c>
      <c r="AD22" s="115" t="n"/>
      <c r="AE22" s="115" t="n"/>
      <c r="AF22" s="115" t="n"/>
      <c r="AG22" s="115" t="n"/>
      <c r="AH22" s="115" t="n"/>
      <c r="AI22" s="115" t="n"/>
      <c r="AJ22" s="115" t="n"/>
      <c r="AK22" s="115" t="n"/>
      <c r="AL22" s="115" t="n"/>
      <c r="AM22" s="115" t="n"/>
      <c r="AN22" s="115" t="n"/>
      <c r="AO22" s="115" t="n"/>
    </row>
    <row r="23" ht="21" customFormat="1" customHeight="1" s="116">
      <c r="A23" s="83" t="inlineStr">
        <is>
          <t>FRANCA</t>
        </is>
      </c>
      <c r="B23" s="122" t="n"/>
      <c r="C23" s="118">
        <f>AC23</f>
        <v/>
      </c>
      <c r="D23" s="118">
        <f>C23*0.1818</f>
        <v/>
      </c>
      <c r="E23" s="118">
        <f>SUM(C23:D23)</f>
        <v/>
      </c>
      <c r="F23" s="118">
        <f>E23*0.1111</f>
        <v/>
      </c>
      <c r="G23" s="118">
        <f>E23*0.083</f>
        <v/>
      </c>
      <c r="H23" s="118">
        <f>SUM(E23:G23)*0.08</f>
        <v/>
      </c>
      <c r="I23" s="118">
        <f>IF(E23&lt;=$F$67,E23*$G$67,IF(E23&lt;=$F$68,E23*$G$68,IF(E23&lt;=$F$69,E23*$G$69,513.0125)))</f>
        <v/>
      </c>
      <c r="J23" s="22" t="n"/>
      <c r="K23" s="114" t="n"/>
      <c r="L23" s="114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SUM(M23:AB23)</f>
        <v/>
      </c>
      <c r="AD23" s="115" t="n"/>
      <c r="AE23" s="115" t="n"/>
      <c r="AF23" s="115" t="n"/>
      <c r="AG23" s="115" t="n"/>
      <c r="AH23" s="115" t="n"/>
      <c r="AI23" s="115" t="n"/>
      <c r="AJ23" s="115" t="n"/>
      <c r="AK23" s="115" t="n"/>
      <c r="AL23" s="115" t="n"/>
      <c r="AM23" s="115" t="n"/>
      <c r="AN23" s="115" t="n"/>
      <c r="AO23" s="115" t="n"/>
    </row>
    <row r="24" ht="21" customFormat="1" customHeight="1" s="116">
      <c r="A24" s="83" t="inlineStr">
        <is>
          <t>FRANCA</t>
        </is>
      </c>
      <c r="B24" s="124" t="n"/>
      <c r="C24" s="118">
        <f>AC24</f>
        <v/>
      </c>
      <c r="D24" s="118">
        <f>C24*0.1818</f>
        <v/>
      </c>
      <c r="E24" s="118">
        <f>SUM(C24:D24)</f>
        <v/>
      </c>
      <c r="F24" s="118">
        <f>E24*0.1111</f>
        <v/>
      </c>
      <c r="G24" s="118">
        <f>E24*0.083</f>
        <v/>
      </c>
      <c r="H24" s="118">
        <f>SUM(E24:G24)*0.08</f>
        <v/>
      </c>
      <c r="I24" s="118">
        <f>IF(E24&lt;=$F$67,E24*$G$67,IF(E24&lt;=$F$68,E24*$G$68,IF(E24&lt;=$F$69,E24*$G$69,513.0125)))</f>
        <v/>
      </c>
      <c r="J24" s="22" t="n"/>
      <c r="K24" s="114" t="n"/>
      <c r="L24" s="114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SUM(M24:AB24)</f>
        <v/>
      </c>
      <c r="AD24" s="115" t="n"/>
      <c r="AE24" s="115" t="n"/>
      <c r="AF24" s="115" t="n"/>
      <c r="AG24" s="115" t="n"/>
      <c r="AH24" s="115" t="n"/>
      <c r="AI24" s="115" t="n"/>
      <c r="AJ24" s="115" t="n"/>
      <c r="AK24" s="115" t="n"/>
      <c r="AL24" s="115" t="n"/>
      <c r="AM24" s="115" t="n"/>
      <c r="AN24" s="115" t="n"/>
      <c r="AO24" s="115" t="n"/>
    </row>
    <row r="25" ht="21" customFormat="1" customHeight="1" s="116">
      <c r="A25" s="83" t="inlineStr">
        <is>
          <t>FRANCA</t>
        </is>
      </c>
      <c r="B25" s="122" t="n"/>
      <c r="C25" s="118">
        <f>AC25</f>
        <v/>
      </c>
      <c r="D25" s="118">
        <f>C25*0.1818</f>
        <v/>
      </c>
      <c r="E25" s="118">
        <f>SUM(C25:D25)</f>
        <v/>
      </c>
      <c r="F25" s="118">
        <f>E25*0.1111</f>
        <v/>
      </c>
      <c r="G25" s="118">
        <f>E25*0.083</f>
        <v/>
      </c>
      <c r="H25" s="118">
        <f>SUM(E25:G25)*0.08</f>
        <v/>
      </c>
      <c r="I25" s="118">
        <f>IF(E25&lt;=$F$67,E25*$G$67,IF(E25&lt;=$F$68,E25*$G$68,IF(E25&lt;=$F$69,E25*$G$69,513.0125)))</f>
        <v/>
      </c>
      <c r="J25" s="22" t="n"/>
      <c r="K25" s="114" t="n"/>
      <c r="L25" s="114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SUM(M25:AB25)</f>
        <v/>
      </c>
      <c r="AD25" s="115" t="n"/>
      <c r="AE25" s="115" t="n"/>
      <c r="AF25" s="115" t="n"/>
      <c r="AG25" s="115" t="n"/>
      <c r="AH25" s="115" t="n"/>
      <c r="AI25" s="115" t="n"/>
      <c r="AJ25" s="115" t="n"/>
      <c r="AK25" s="115" t="n"/>
      <c r="AL25" s="115" t="n"/>
      <c r="AM25" s="115" t="n"/>
      <c r="AN25" s="115" t="n"/>
      <c r="AO25" s="115" t="n"/>
    </row>
    <row r="26" ht="21" customFormat="1" customHeight="1" s="116">
      <c r="A26" s="83" t="n"/>
      <c r="B26" s="122" t="n"/>
      <c r="C26" s="118">
        <f>AC26</f>
        <v/>
      </c>
      <c r="D26" s="118">
        <f>C26*0.1818</f>
        <v/>
      </c>
      <c r="E26" s="118">
        <f>SUM(C26:D26)</f>
        <v/>
      </c>
      <c r="F26" s="118">
        <f>E26*0.1111</f>
        <v/>
      </c>
      <c r="G26" s="118">
        <f>E26*0.083</f>
        <v/>
      </c>
      <c r="H26" s="118">
        <f>SUM(E26:G26)*0.08</f>
        <v/>
      </c>
      <c r="I26" s="118">
        <f>IF(E26&lt;=$F$67,E26*$G$67,IF(E26&lt;=$F$68,E26*$G$68,IF(E26&lt;=$F$69,E26*$G$69,513.0125)))</f>
        <v/>
      </c>
      <c r="J26" s="22" t="n"/>
      <c r="K26" s="114" t="n"/>
      <c r="L26" s="114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SUM(M26:AB26)</f>
        <v/>
      </c>
      <c r="AD26" s="115" t="n"/>
      <c r="AE26" s="115" t="n"/>
      <c r="AF26" s="115" t="n"/>
      <c r="AG26" s="115" t="n"/>
      <c r="AH26" s="115" t="n"/>
      <c r="AI26" s="115" t="n"/>
      <c r="AJ26" s="115" t="n"/>
      <c r="AK26" s="115" t="n"/>
      <c r="AL26" s="115" t="n"/>
      <c r="AM26" s="115" t="n"/>
      <c r="AN26" s="115" t="n"/>
      <c r="AO26" s="115" t="n"/>
    </row>
    <row r="27" ht="21" customFormat="1" customHeight="1" s="116" thickBot="1">
      <c r="A27" s="114" t="n"/>
      <c r="B27" s="112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25">
        <f>COUNT(M26:M26)</f>
        <v/>
      </c>
      <c r="N27" s="125">
        <f>COUNT(N26:N26)</f>
        <v/>
      </c>
      <c r="O27" s="125">
        <f>COUNT(O26:O26)</f>
        <v/>
      </c>
      <c r="P27" s="125">
        <f>COUNT(P26:P26)</f>
        <v/>
      </c>
      <c r="Q27" s="125">
        <f>COUNT(Q26:Q26)</f>
        <v/>
      </c>
      <c r="R27" s="125" t="n"/>
      <c r="S27" s="125">
        <f>COUNT(S26:S26)</f>
        <v/>
      </c>
      <c r="T27" s="125">
        <f>COUNT(T26:T26)</f>
        <v/>
      </c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14" t="n"/>
      <c r="AD27" s="115" t="n"/>
      <c r="AE27" s="115" t="n"/>
      <c r="AF27" s="115" t="n"/>
      <c r="AG27" s="115" t="n"/>
      <c r="AH27" s="115" t="n"/>
      <c r="AI27" s="115" t="n"/>
      <c r="AJ27" s="115" t="n"/>
      <c r="AK27" s="115" t="n"/>
      <c r="AL27" s="115" t="n"/>
      <c r="AM27" s="115" t="n"/>
      <c r="AN27" s="115" t="n"/>
      <c r="AO27" s="115" t="n"/>
    </row>
    <row r="28" ht="21" customFormat="1" customHeight="1" s="116">
      <c r="J28" s="114" t="n"/>
      <c r="K28" s="114" t="n"/>
      <c r="L28" s="114" t="n"/>
      <c r="M28" s="165" t="inlineStr">
        <is>
          <t>TOTAL GERAL / BOLETIM ENSACADORES:</t>
        </is>
      </c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  <c r="AA28" s="166" t="n"/>
      <c r="AB28" s="166" t="n"/>
      <c r="AC28" s="167" t="n"/>
      <c r="AD28" s="129" t="inlineStr">
        <is>
          <t>TOTAL:</t>
        </is>
      </c>
      <c r="AE28" s="115" t="n"/>
      <c r="AF28" s="115" t="n"/>
      <c r="AG28" s="115" t="n"/>
      <c r="AH28" s="115" t="n"/>
      <c r="AI28" s="115" t="n"/>
      <c r="AJ28" s="115" t="n"/>
      <c r="AK28" s="115" t="n"/>
      <c r="AL28" s="115" t="n"/>
      <c r="AM28" s="115" t="n"/>
      <c r="AN28" s="115" t="n"/>
      <c r="AO28" s="115" t="n"/>
      <c r="AP28" s="115" t="n"/>
    </row>
    <row r="29" ht="21" customFormat="1" customHeight="1" s="116">
      <c r="J29" s="114" t="n"/>
      <c r="K29" s="114" t="n"/>
      <c r="L29" s="114" t="n"/>
      <c r="M29" s="130">
        <f>SUM(M6:M26)</f>
        <v/>
      </c>
      <c r="N29" s="130">
        <f>SUM(N6:N26)</f>
        <v/>
      </c>
      <c r="O29" s="130">
        <f>SUM(O6:O26)</f>
        <v/>
      </c>
      <c r="P29" s="130">
        <f>SUM(P6:P26)</f>
        <v/>
      </c>
      <c r="Q29" s="130">
        <f>SUM(Q6:Q26)</f>
        <v/>
      </c>
      <c r="R29" s="130">
        <f>SUM(R6:R26)</f>
        <v/>
      </c>
      <c r="S29" s="130">
        <f>SUM(S6:S26)</f>
        <v/>
      </c>
      <c r="T29" s="130">
        <f>SUM(T6:T26)</f>
        <v/>
      </c>
      <c r="U29" s="130">
        <f>SUM(U6:U26)</f>
        <v/>
      </c>
      <c r="V29" s="130">
        <f>SUM(V6:V26)</f>
        <v/>
      </c>
      <c r="W29" s="130">
        <f>SUM(W6:W26)</f>
        <v/>
      </c>
      <c r="X29" s="130">
        <f>SUM(X6:X26)</f>
        <v/>
      </c>
      <c r="Y29" s="130">
        <f>SUM(Y6:Y26)</f>
        <v/>
      </c>
      <c r="Z29" s="130">
        <f>SUM(Z6:Z26)</f>
        <v/>
      </c>
      <c r="AA29" s="130">
        <f>SUM(AA6:AA26)</f>
        <v/>
      </c>
      <c r="AB29" s="131" t="n"/>
      <c r="AC29" s="131" t="n"/>
      <c r="AD29" s="132">
        <f>SUM(M29:AB29)</f>
        <v/>
      </c>
      <c r="AE29" s="115" t="n"/>
      <c r="AF29" s="115" t="n"/>
      <c r="AG29" s="115" t="n"/>
      <c r="AH29" s="115" t="n"/>
      <c r="AI29" s="115" t="n"/>
      <c r="AJ29" s="115" t="n"/>
      <c r="AK29" s="115" t="n"/>
      <c r="AL29" s="115" t="n"/>
      <c r="AM29" s="115" t="n"/>
      <c r="AN29" s="115" t="n"/>
      <c r="AO29" s="115" t="n"/>
      <c r="AP29" s="115" t="n"/>
    </row>
    <row r="30" ht="21" customFormat="1" customHeight="1" s="116" thickBot="1">
      <c r="J30" s="114" t="n"/>
      <c r="K30" s="114" t="n"/>
      <c r="L30" s="114" t="n"/>
      <c r="AE30" s="115" t="n"/>
      <c r="AF30" s="115" t="n"/>
      <c r="AG30" s="115" t="n"/>
      <c r="AH30" s="115" t="n"/>
      <c r="AI30" s="115" t="n"/>
      <c r="AJ30" s="115" t="n"/>
      <c r="AK30" s="115" t="n"/>
      <c r="AL30" s="115" t="n"/>
      <c r="AM30" s="115" t="n"/>
      <c r="AN30" s="115" t="n"/>
      <c r="AO30" s="115" t="n"/>
      <c r="AP30" s="115" t="n"/>
    </row>
    <row r="31" ht="21.6" customFormat="1" customHeight="1" s="116" thickBot="1">
      <c r="A31" s="133" t="inlineStr">
        <is>
          <t>MÉDIA DIÁRIA CHAPAS</t>
        </is>
      </c>
      <c r="B31" s="133" t="n"/>
      <c r="C31" s="134" t="n">
        <v>11</v>
      </c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AE31" s="115" t="n"/>
      <c r="AF31" s="115" t="n"/>
      <c r="AG31" s="115" t="n"/>
      <c r="AH31" s="115" t="n"/>
      <c r="AI31" s="115" t="n"/>
      <c r="AJ31" s="115" t="n"/>
      <c r="AK31" s="115" t="n"/>
      <c r="AL31" s="115" t="n"/>
      <c r="AM31" s="115" t="n"/>
      <c r="AN31" s="115" t="n"/>
      <c r="AO31" s="115" t="n"/>
      <c r="AP31" s="115" t="n"/>
    </row>
    <row r="32" ht="20.4" customFormat="1" customHeight="1" s="116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5" t="n"/>
      <c r="AF32" s="115" t="n"/>
      <c r="AG32" s="115" t="n"/>
      <c r="AH32" s="115" t="n"/>
      <c r="AI32" s="115" t="n"/>
      <c r="AJ32" s="115" t="n"/>
      <c r="AK32" s="115" t="n"/>
      <c r="AL32" s="115" t="n"/>
      <c r="AM32" s="115" t="n"/>
      <c r="AN32" s="115" t="n"/>
      <c r="AO32" s="115" t="n"/>
      <c r="AP32" s="115" t="n"/>
    </row>
    <row r="33" ht="21.6" customFormat="1" customHeight="1" s="116" thickBot="1">
      <c r="A33" s="60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5" t="n"/>
      <c r="AF33" s="115" t="n"/>
      <c r="AG33" s="115" t="n"/>
      <c r="AH33" s="115" t="n"/>
      <c r="AI33" s="115" t="n"/>
      <c r="AJ33" s="115" t="n"/>
      <c r="AK33" s="115" t="n"/>
      <c r="AL33" s="115" t="n"/>
      <c r="AM33" s="115" t="n"/>
      <c r="AN33" s="115" t="n"/>
      <c r="AO33" s="115" t="n"/>
      <c r="AP33" s="115" t="n"/>
    </row>
    <row r="34" ht="21" customFormat="1" customHeight="1" s="116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2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107" t="n"/>
      <c r="AF34" s="107" t="n"/>
      <c r="AG34" s="115" t="n"/>
      <c r="AH34" s="115" t="n"/>
      <c r="AI34" s="115" t="n"/>
      <c r="AJ34" s="115" t="n"/>
      <c r="AK34" s="115" t="n"/>
      <c r="AL34" s="115" t="n"/>
      <c r="AM34" s="115" t="n"/>
      <c r="AN34" s="115" t="n"/>
      <c r="AO34" s="115" t="n"/>
      <c r="AP34" s="115" t="n"/>
    </row>
    <row r="35" ht="21" customFormat="1" customHeight="1" s="116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103" t="n">
        <v>46219</v>
      </c>
      <c r="N35" s="103" t="n">
        <v>46220</v>
      </c>
      <c r="O35" s="103" t="n">
        <v>46221</v>
      </c>
      <c r="P35" s="103" t="n">
        <v>46222</v>
      </c>
      <c r="Q35" s="103" t="n">
        <v>46223</v>
      </c>
      <c r="R35" s="103" t="n">
        <v>46224</v>
      </c>
      <c r="S35" s="103" t="n">
        <v>46225</v>
      </c>
      <c r="T35" s="103" t="n">
        <v>46226</v>
      </c>
      <c r="U35" s="103" t="n">
        <v>46227</v>
      </c>
      <c r="V35" s="103" t="n">
        <v>46228</v>
      </c>
      <c r="W35" s="103" t="n">
        <v>46229</v>
      </c>
      <c r="X35" s="103" t="n">
        <v>46230</v>
      </c>
      <c r="Y35" s="103" t="n">
        <v>46231</v>
      </c>
      <c r="Z35" s="103" t="n">
        <v>46232</v>
      </c>
      <c r="AA35" s="103" t="n">
        <v>46233</v>
      </c>
      <c r="AB35" s="103" t="n">
        <v>46234</v>
      </c>
      <c r="AC35" s="83" t="inlineStr">
        <is>
          <t>TOTAL</t>
        </is>
      </c>
      <c r="AD35" s="115" t="n"/>
      <c r="AE35" s="115" t="n"/>
      <c r="AF35" s="115" t="n"/>
      <c r="AG35" s="115" t="n"/>
      <c r="AH35" s="115" t="n"/>
      <c r="AI35" s="115" t="n"/>
      <c r="AJ35" s="115" t="n"/>
      <c r="AK35" s="115" t="n"/>
      <c r="AL35" s="115" t="n"/>
      <c r="AM35" s="115" t="n"/>
      <c r="AN35" s="115" t="n"/>
      <c r="AO35" s="115" t="n"/>
    </row>
    <row r="36" ht="21" customFormat="1" customHeight="1" s="116">
      <c r="A36" s="93" t="inlineStr">
        <is>
          <t>FRANCA</t>
        </is>
      </c>
      <c r="B36" s="117" t="inlineStr">
        <is>
          <t>CHAPA_06</t>
        </is>
      </c>
      <c r="C36" s="118">
        <f>AC36</f>
        <v/>
      </c>
      <c r="D36" s="118">
        <f>C36*0.1818</f>
        <v/>
      </c>
      <c r="E36" s="118">
        <f>SUM(C36:D36)</f>
        <v/>
      </c>
      <c r="F36" s="118">
        <f>E36*0.1111</f>
        <v/>
      </c>
      <c r="G36" s="118">
        <f>E36*0.083</f>
        <v/>
      </c>
      <c r="H36" s="118">
        <f>SUM(E36:G36)*0.08</f>
        <v/>
      </c>
      <c r="I36" s="118">
        <f>IF(E36&lt;=$F$67,E36*$G$67,IF(E36&lt;=$F$68,E36*$G$68,IF(E36&lt;=$F$69,E36*$G$69,513.0125)))</f>
        <v/>
      </c>
      <c r="J36" s="135">
        <f>IF(I5=0,0,VLOOKUP(#REF!,$B$6:$I$26,8,0))</f>
        <v/>
      </c>
      <c r="K36" s="136">
        <f>IF(E36+I36&lt;=$K$60,(E36+I36)*J70-J36,IF(E36+I36&lt;=$K$61,(E36+I36)*J71-J36,IF(E36+I36&lt;=$K$62,(E36+I36)*L72-J36,513.0125)))</f>
        <v/>
      </c>
      <c r="L36" s="22" t="n"/>
      <c r="M36" s="32" t="n">
        <v>64.06</v>
      </c>
      <c r="N36" s="32" t="n">
        <v>119.45</v>
      </c>
      <c r="O36" s="32" t="n">
        <v>51.25</v>
      </c>
      <c r="P36" s="32" t="n">
        <v>0</v>
      </c>
      <c r="Q36" s="32" t="n">
        <v>112.76</v>
      </c>
      <c r="R36" s="32" t="n">
        <v>112.76</v>
      </c>
      <c r="S36" s="32" t="n">
        <v>112.76</v>
      </c>
      <c r="T36" s="32" t="n">
        <v>112.76</v>
      </c>
      <c r="U36" s="32" t="n">
        <v>112.76</v>
      </c>
      <c r="V36" s="32" t="n">
        <v>0</v>
      </c>
      <c r="W36" s="32" t="n">
        <v>0</v>
      </c>
      <c r="X36" s="32" t="n">
        <v>112.76</v>
      </c>
      <c r="Y36" s="32" t="n">
        <v>112.76</v>
      </c>
      <c r="Z36" s="32" t="n">
        <v>0</v>
      </c>
      <c r="AA36" s="32" t="n">
        <v>112.76</v>
      </c>
      <c r="AB36" s="32" t="n">
        <v>112.76</v>
      </c>
      <c r="AC36" s="137">
        <f>SUM(M36:AB36)</f>
        <v/>
      </c>
      <c r="AD36" s="115" t="n"/>
      <c r="AE36" s="115" t="n"/>
      <c r="AF36" s="115" t="n"/>
      <c r="AG36" s="115" t="n"/>
      <c r="AH36" s="115" t="n"/>
      <c r="AI36" s="115" t="n"/>
      <c r="AJ36" s="115" t="n"/>
      <c r="AK36" s="115" t="n"/>
      <c r="AL36" s="115" t="n"/>
      <c r="AM36" s="115" t="n"/>
      <c r="AN36" s="115" t="n"/>
      <c r="AO36" s="115" t="n"/>
    </row>
    <row r="37" ht="21" customFormat="1" customHeight="1" s="116">
      <c r="A37" s="93" t="inlineStr">
        <is>
          <t>FRANCA</t>
        </is>
      </c>
      <c r="B37" s="117" t="inlineStr">
        <is>
          <t>CHAPA_14</t>
        </is>
      </c>
      <c r="C37" s="136">
        <f>AC37</f>
        <v/>
      </c>
      <c r="D37" s="136">
        <f>C37*0.1818</f>
        <v/>
      </c>
      <c r="E37" s="136">
        <f>SUM(C37:D37)</f>
        <v/>
      </c>
      <c r="F37" s="136">
        <f>E37*0.1111</f>
        <v/>
      </c>
      <c r="G37" s="136">
        <f>E37*0.083</f>
        <v/>
      </c>
      <c r="H37" s="136">
        <f>SUM(E37:G37)*0.08</f>
        <v/>
      </c>
      <c r="I37" s="135">
        <f>AC6</f>
        <v/>
      </c>
      <c r="J37" s="135">
        <f>IF(I6=0,0,VLOOKUP(#REF!,$B$6:$I$26,8,0))</f>
        <v/>
      </c>
      <c r="K37" s="136">
        <f>IF(E37+I37&lt;=$K$60,(E37+I37)*J71-J37,IF(E37+I37&lt;=$K$61,(E37+I37)*J72-J37,IF(E37+I37&lt;=$K$62,(E37+I37)*L73-J37,513.0125)))</f>
        <v/>
      </c>
      <c r="L37" s="22" t="n"/>
      <c r="M37" s="32" t="n">
        <v>112.76</v>
      </c>
      <c r="N37" s="32" t="n">
        <v>119.45</v>
      </c>
      <c r="O37" s="32" t="n">
        <v>51.25</v>
      </c>
      <c r="P37" s="32" t="n">
        <v>0</v>
      </c>
      <c r="Q37" s="32" t="n">
        <v>112.76</v>
      </c>
      <c r="R37" s="32" t="n">
        <v>112.76</v>
      </c>
      <c r="S37" s="32" t="n">
        <v>112.76</v>
      </c>
      <c r="T37" s="32" t="n">
        <v>112.76</v>
      </c>
      <c r="U37" s="32" t="n">
        <v>112.76</v>
      </c>
      <c r="V37" s="32" t="n">
        <v>51.255</v>
      </c>
      <c r="W37" s="32" t="n">
        <v>0</v>
      </c>
      <c r="X37" s="32" t="n">
        <v>112.76</v>
      </c>
      <c r="Y37" s="32" t="n">
        <v>112.76</v>
      </c>
      <c r="Z37" s="32" t="n">
        <v>112.76</v>
      </c>
      <c r="AA37" s="32" t="n">
        <v>112.76</v>
      </c>
      <c r="AB37" s="32" t="n">
        <v>112.76</v>
      </c>
      <c r="AC37" s="137">
        <f>SUM(M37:AB37)</f>
        <v/>
      </c>
      <c r="AD37" s="115" t="n"/>
      <c r="AE37" s="115" t="n"/>
      <c r="AF37" s="115" t="n"/>
      <c r="AG37" s="115" t="n"/>
      <c r="AH37" s="115" t="n"/>
      <c r="AI37" s="115" t="n"/>
      <c r="AJ37" s="115" t="n"/>
      <c r="AK37" s="115" t="n"/>
      <c r="AL37" s="115" t="n"/>
      <c r="AM37" s="115" t="n"/>
      <c r="AN37" s="115" t="n"/>
      <c r="AO37" s="115" t="n"/>
    </row>
    <row r="38" ht="21" customFormat="1" customHeight="1" s="116">
      <c r="A38" s="93" t="inlineStr">
        <is>
          <t>FRANCA</t>
        </is>
      </c>
      <c r="B38" s="120" t="inlineStr">
        <is>
          <t>CHAPA_15</t>
        </is>
      </c>
      <c r="C38" s="118">
        <f>AC38</f>
        <v/>
      </c>
      <c r="D38" s="118">
        <f>C38*0.1818</f>
        <v/>
      </c>
      <c r="E38" s="118">
        <f>SUM(C38:D38)</f>
        <v/>
      </c>
      <c r="F38" s="118">
        <f>E38*0.1111</f>
        <v/>
      </c>
      <c r="G38" s="118">
        <f>E38*0.083</f>
        <v/>
      </c>
      <c r="H38" s="118">
        <f>SUM(E38:G38)*0.08</f>
        <v/>
      </c>
      <c r="I38" s="118">
        <f>IF(E38&lt;=$F$67,E38*$G$67,IF(E38&lt;=$F$68,E38*$G$68,IF(E38&lt;=$F$69,E38*$G$69,513.0125)))</f>
        <v/>
      </c>
      <c r="J38" s="135">
        <f>IF(I7=0,0,VLOOKUP(#REF!,$B$6:$I$26,8,0))</f>
        <v/>
      </c>
      <c r="K38" s="136">
        <f>IF(E38+I38&lt;=$K$60,(E38+I38)*J72-J38,IF(E38+I38&lt;=$K$61,(E38+I38)*J73-J38,IF(E38+I38&lt;=$K$62,(E38+I38)*L74-J38,513.0125)))</f>
        <v/>
      </c>
      <c r="L38" s="22" t="n"/>
      <c r="M38" s="32" t="n">
        <v>112.76</v>
      </c>
      <c r="N38" s="32" t="n">
        <v>119.45</v>
      </c>
      <c r="O38" s="32" t="n">
        <v>0</v>
      </c>
      <c r="P38" s="32" t="n">
        <v>0</v>
      </c>
      <c r="Q38" s="32" t="n">
        <v>0</v>
      </c>
      <c r="R38" s="32" t="n">
        <v>112.76</v>
      </c>
      <c r="S38" s="32" t="n">
        <v>112.76</v>
      </c>
      <c r="T38" s="32" t="n">
        <v>112.76</v>
      </c>
      <c r="U38" s="32" t="n">
        <v>112.76</v>
      </c>
      <c r="V38" s="32" t="n">
        <v>51.255</v>
      </c>
      <c r="W38" s="32" t="n">
        <v>0</v>
      </c>
      <c r="X38" s="32" t="n">
        <v>112.76</v>
      </c>
      <c r="Y38" s="32" t="n">
        <v>112.76</v>
      </c>
      <c r="Z38" s="32" t="n">
        <v>112.76</v>
      </c>
      <c r="AA38" s="32" t="n">
        <v>112.76</v>
      </c>
      <c r="AB38" s="32" t="n">
        <v>112.76</v>
      </c>
      <c r="AC38" s="137">
        <f>SUM(M38:AB38)</f>
        <v/>
      </c>
      <c r="AD38" s="115" t="n"/>
      <c r="AE38" s="115" t="n"/>
      <c r="AF38" s="115" t="n"/>
      <c r="AG38" s="115" t="n"/>
      <c r="AH38" s="115" t="n"/>
      <c r="AI38" s="115" t="n"/>
      <c r="AJ38" s="115" t="n"/>
      <c r="AK38" s="115" t="n"/>
      <c r="AL38" s="115" t="n"/>
      <c r="AM38" s="115" t="n"/>
      <c r="AN38" s="115" t="n"/>
      <c r="AO38" s="115" t="n"/>
    </row>
    <row r="39" ht="21" customFormat="1" customHeight="1" s="116">
      <c r="A39" s="93" t="inlineStr">
        <is>
          <t>FRANCA</t>
        </is>
      </c>
      <c r="B39" s="121" t="inlineStr">
        <is>
          <t>CHAPA_17</t>
        </is>
      </c>
      <c r="C39" s="118">
        <f>AC39</f>
        <v/>
      </c>
      <c r="D39" s="118">
        <f>C39*0.1818</f>
        <v/>
      </c>
      <c r="E39" s="118">
        <f>SUM(C39:D39)</f>
        <v/>
      </c>
      <c r="F39" s="118">
        <f>E39*0.1111</f>
        <v/>
      </c>
      <c r="G39" s="118">
        <f>E39*0.083</f>
        <v/>
      </c>
      <c r="H39" s="118">
        <f>SUM(E39:G39)*0.08</f>
        <v/>
      </c>
      <c r="I39" s="118">
        <f>IF(E39&lt;=$F$67,E39*$G$67,IF(E39&lt;=$F$68,E39*$G$68,IF(E39&lt;=$F$69,E39*$G$69,513.0125)))</f>
        <v/>
      </c>
      <c r="J39" s="135">
        <f>IF(I8=0,0,VLOOKUP(#REF!,$B$6:$I$26,8,0))</f>
        <v/>
      </c>
      <c r="K39" s="136">
        <f>IF(E39+I39&lt;=$K$60,(E39+I39)*J73-J39,IF(E39+I39&lt;=$K$61,(E39+I39)*J74-J39,IF(E39+I39&lt;=$K$62,(E39+I39)*L75-J39,513.0125)))</f>
        <v/>
      </c>
      <c r="L39" s="22" t="n"/>
      <c r="M39" s="32" t="n">
        <v>112.76</v>
      </c>
      <c r="N39" s="32" t="n">
        <v>119.45</v>
      </c>
      <c r="O39" s="32" t="n">
        <v>0</v>
      </c>
      <c r="P39" s="32" t="n">
        <v>0</v>
      </c>
      <c r="Q39" s="32" t="n">
        <v>112.76</v>
      </c>
      <c r="R39" s="32" t="n">
        <v>112.76</v>
      </c>
      <c r="S39" s="32" t="n">
        <v>112.76</v>
      </c>
      <c r="T39" s="32" t="n">
        <v>83.28</v>
      </c>
      <c r="U39" s="32" t="n">
        <v>76.88</v>
      </c>
      <c r="V39" s="32" t="n">
        <v>51.255</v>
      </c>
      <c r="W39" s="32" t="n">
        <v>0</v>
      </c>
      <c r="X39" s="32" t="n">
        <v>64.06</v>
      </c>
      <c r="Y39" s="32" t="n">
        <v>0</v>
      </c>
      <c r="Z39" s="32" t="n">
        <v>122.37</v>
      </c>
      <c r="AA39" s="32" t="n">
        <v>112.76</v>
      </c>
      <c r="AB39" s="32" t="n">
        <v>112.76</v>
      </c>
      <c r="AC39" s="137">
        <f>SUM(M39:AB39)</f>
        <v/>
      </c>
      <c r="AD39" s="115" t="n"/>
      <c r="AE39" s="115" t="n"/>
      <c r="AF39" s="115" t="n"/>
      <c r="AG39" s="115" t="n"/>
      <c r="AH39" s="115" t="n"/>
      <c r="AI39" s="115" t="n"/>
      <c r="AJ39" s="115" t="n"/>
      <c r="AK39" s="115" t="n"/>
      <c r="AL39" s="115" t="n"/>
      <c r="AM39" s="115" t="n"/>
      <c r="AN39" s="115" t="n"/>
      <c r="AO39" s="115" t="n"/>
    </row>
    <row r="40" ht="21" customFormat="1" customHeight="1" s="116">
      <c r="A40" s="93" t="inlineStr">
        <is>
          <t>FRANCA</t>
        </is>
      </c>
      <c r="B40" s="122" t="inlineStr">
        <is>
          <t>CHAPA_26</t>
        </is>
      </c>
      <c r="C40" s="136">
        <f>AC40</f>
        <v/>
      </c>
      <c r="D40" s="136">
        <f>C40*0.1818</f>
        <v/>
      </c>
      <c r="E40" s="136">
        <f>SUM(C40:D40)</f>
        <v/>
      </c>
      <c r="F40" s="136">
        <f>E40*0.1111</f>
        <v/>
      </c>
      <c r="G40" s="136">
        <f>E40*0.083</f>
        <v/>
      </c>
      <c r="H40" s="136">
        <f>SUM(E40:G40)*0.08</f>
        <v/>
      </c>
      <c r="I40" s="135">
        <f>AC10</f>
        <v/>
      </c>
      <c r="J40" s="135">
        <f>IF(I9=0,0,VLOOKUP(#REF!,$B$6:$I$26,8,0))</f>
        <v/>
      </c>
      <c r="K40" s="136">
        <f>IF(E40+I40&lt;=$K$60,(E40+I40)*J74-J40,IF(E40+I40&lt;=$K$61,(E40+I40)*J75-J40,IF(E40+I40&lt;=$K$62,(E40+I40)*L76-J40,513.0125)))</f>
        <v/>
      </c>
      <c r="L40" s="22" t="n"/>
      <c r="M40" s="32" t="n">
        <v>112.76</v>
      </c>
      <c r="N40" s="32" t="n">
        <v>119.45</v>
      </c>
      <c r="O40" s="32" t="n">
        <v>0</v>
      </c>
      <c r="P40" s="32" t="n">
        <v>0</v>
      </c>
      <c r="Q40" s="32" t="n">
        <v>112.76</v>
      </c>
      <c r="R40" s="32" t="n">
        <v>112.76</v>
      </c>
      <c r="S40" s="32" t="n">
        <v>112.76</v>
      </c>
      <c r="T40" s="32" t="n">
        <v>76.88</v>
      </c>
      <c r="U40" s="32" t="n">
        <v>112.76</v>
      </c>
      <c r="V40" s="32" t="n">
        <v>51.255</v>
      </c>
      <c r="W40" s="32" t="n">
        <v>0</v>
      </c>
      <c r="X40" s="32" t="n">
        <v>112.76</v>
      </c>
      <c r="Y40" s="32" t="n">
        <v>112.76</v>
      </c>
      <c r="Z40" s="32" t="n">
        <v>112.76</v>
      </c>
      <c r="AA40" s="32" t="n">
        <v>112.76</v>
      </c>
      <c r="AB40" s="32" t="n">
        <v>112.76</v>
      </c>
      <c r="AC40" s="137">
        <f>SUM(M40:AB40)</f>
        <v/>
      </c>
      <c r="AD40" s="115" t="n"/>
      <c r="AE40" s="115" t="n"/>
      <c r="AF40" s="115" t="n"/>
      <c r="AG40" s="115" t="n"/>
      <c r="AH40" s="115" t="n"/>
      <c r="AI40" s="115" t="n"/>
      <c r="AJ40" s="115" t="n"/>
      <c r="AK40" s="115" t="n"/>
      <c r="AL40" s="115" t="n"/>
      <c r="AM40" s="115" t="n"/>
      <c r="AN40" s="115" t="n"/>
      <c r="AO40" s="115" t="n"/>
    </row>
    <row r="41" ht="21" customFormat="1" customHeight="1" s="116">
      <c r="A41" s="93" t="inlineStr">
        <is>
          <t>FRANCA</t>
        </is>
      </c>
      <c r="B41" s="120" t="inlineStr">
        <is>
          <t>CHAPA_38</t>
        </is>
      </c>
      <c r="C41" s="118">
        <f>AC41</f>
        <v/>
      </c>
      <c r="D41" s="118">
        <f>C41*0.1818</f>
        <v/>
      </c>
      <c r="E41" s="118">
        <f>SUM(C41:D41)</f>
        <v/>
      </c>
      <c r="F41" s="118">
        <f>E41*0.1111</f>
        <v/>
      </c>
      <c r="G41" s="118">
        <f>E41*0.083</f>
        <v/>
      </c>
      <c r="H41" s="118">
        <f>SUM(E41:G41)*0.08</f>
        <v/>
      </c>
      <c r="I41" s="118">
        <f>IF(E41&lt;=$F$67,E41*$G$67,IF(E41&lt;=$F$68,E41*$G$68,IF(E41&lt;=$F$69,E41*$G$69,513.0125)))</f>
        <v/>
      </c>
      <c r="J41" s="135">
        <f>IF(I10=0,0,VLOOKUP(#REF!,$B$6:$I$26,8,0))</f>
        <v/>
      </c>
      <c r="K41" s="136">
        <f>IF(E41+I41&lt;=$K$60,(E41+I41)*J75-J41,IF(E41+I41&lt;=$K$61,(E41+I41)*J76-J41,IF(E41+I41&lt;=$K$62,(E41+I41)*L77-J41,513.0125)))</f>
        <v/>
      </c>
      <c r="L41" s="22" t="n"/>
      <c r="M41" s="32" t="n">
        <v>112.76</v>
      </c>
      <c r="N41" s="32" t="n">
        <v>129.06</v>
      </c>
      <c r="O41" s="32" t="n">
        <v>0</v>
      </c>
      <c r="P41" s="32" t="n">
        <v>0</v>
      </c>
      <c r="Q41" s="32" t="n">
        <v>112.76</v>
      </c>
      <c r="R41" s="32" t="n">
        <v>112.76</v>
      </c>
      <c r="S41" s="32" t="n">
        <v>122.37</v>
      </c>
      <c r="T41" s="32" t="n">
        <v>189.64</v>
      </c>
      <c r="U41" s="32" t="n">
        <v>112.76</v>
      </c>
      <c r="V41" s="32" t="n">
        <v>51.255</v>
      </c>
      <c r="W41" s="32" t="n">
        <v>0</v>
      </c>
      <c r="X41" s="32" t="n">
        <v>112.76</v>
      </c>
      <c r="Y41" s="32" t="n">
        <v>112.76</v>
      </c>
      <c r="Z41" s="32" t="n">
        <v>0</v>
      </c>
      <c r="AA41" s="32" t="n">
        <v>112.76</v>
      </c>
      <c r="AB41" s="32" t="n">
        <v>112.76</v>
      </c>
      <c r="AC41" s="137">
        <f>SUM(M41:AB41)</f>
        <v/>
      </c>
      <c r="AD41" s="115" t="n"/>
      <c r="AE41" s="115" t="n"/>
      <c r="AF41" s="115" t="n"/>
      <c r="AG41" s="115" t="n"/>
      <c r="AH41" s="115" t="n"/>
      <c r="AI41" s="115" t="n"/>
      <c r="AJ41" s="115" t="n"/>
      <c r="AK41" s="115" t="n"/>
      <c r="AL41" s="115" t="n"/>
      <c r="AM41" s="115" t="n"/>
      <c r="AN41" s="115" t="n"/>
      <c r="AO41" s="115" t="n"/>
    </row>
    <row r="42" ht="21" customFormat="1" customHeight="1" s="116">
      <c r="A42" s="93" t="inlineStr">
        <is>
          <t>FRANCA</t>
        </is>
      </c>
      <c r="B42" s="120" t="inlineStr">
        <is>
          <t>CHAPA_41</t>
        </is>
      </c>
      <c r="C42" s="118">
        <f>AC42</f>
        <v/>
      </c>
      <c r="D42" s="118">
        <f>C42*0.1818</f>
        <v/>
      </c>
      <c r="E42" s="118">
        <f>SUM(C42:D42)</f>
        <v/>
      </c>
      <c r="F42" s="118">
        <f>E42*0.1111</f>
        <v/>
      </c>
      <c r="G42" s="118">
        <f>E42*0.083</f>
        <v/>
      </c>
      <c r="H42" s="118">
        <f>SUM(E42:G42)*0.08</f>
        <v/>
      </c>
      <c r="I42" s="118">
        <f>IF(E42&lt;=$F$67,E42*$G$67,IF(E42&lt;=$F$68,E42*$G$68,IF(E42&lt;=$F$69,E42*$G$69,513.0125)))</f>
        <v/>
      </c>
      <c r="J42" s="135">
        <f>IF(I11=0,0,VLOOKUP(#REF!,$B$6:$I$26,8,0))</f>
        <v/>
      </c>
      <c r="K42" s="136">
        <f>IF(E42+I42&lt;=$K$60,(E42+I42)*J77-J42,IF(E42+I42&lt;=$K$61,(E42+I42)*J78-J42,IF(E42+I42&lt;=$K$62,(E42+I42)*L79-J42,513.0125)))</f>
        <v/>
      </c>
      <c r="L42" s="22" t="n"/>
      <c r="M42" s="32" t="n">
        <v>112.76</v>
      </c>
      <c r="N42" s="32" t="n">
        <v>119.45</v>
      </c>
      <c r="O42" s="32" t="n">
        <v>51.26</v>
      </c>
      <c r="P42" s="32" t="n">
        <v>0</v>
      </c>
      <c r="Q42" s="32" t="n">
        <v>112.76</v>
      </c>
      <c r="R42" s="32" t="n">
        <v>112.76</v>
      </c>
      <c r="S42" s="32" t="n">
        <v>112.76</v>
      </c>
      <c r="T42" s="32" t="n">
        <v>112.76</v>
      </c>
      <c r="U42" s="32" t="n">
        <v>112.76</v>
      </c>
      <c r="V42" s="32" t="n">
        <v>51.255</v>
      </c>
      <c r="W42" s="32" t="n">
        <v>0</v>
      </c>
      <c r="X42" s="32" t="n">
        <v>112.76</v>
      </c>
      <c r="Y42" s="32" t="n">
        <v>112.76</v>
      </c>
      <c r="Z42" s="32" t="n">
        <v>112.76</v>
      </c>
      <c r="AA42" s="32" t="n">
        <v>112.76</v>
      </c>
      <c r="AB42" s="32" t="n">
        <v>51.26</v>
      </c>
      <c r="AC42" s="137">
        <f>SUM(M42:AB42)</f>
        <v/>
      </c>
      <c r="AD42" s="115" t="n"/>
      <c r="AE42" s="115" t="n"/>
      <c r="AF42" s="115" t="n"/>
      <c r="AG42" s="115" t="n"/>
      <c r="AH42" s="115" t="n"/>
      <c r="AI42" s="115" t="n"/>
      <c r="AJ42" s="115" t="n"/>
      <c r="AK42" s="115" t="n"/>
      <c r="AL42" s="115" t="n"/>
      <c r="AM42" s="115" t="n"/>
      <c r="AN42" s="115" t="n"/>
      <c r="AO42" s="115" t="n"/>
    </row>
    <row r="43" ht="21" customFormat="1" customHeight="1" s="116">
      <c r="A43" s="93" t="inlineStr">
        <is>
          <t>FRANCA</t>
        </is>
      </c>
      <c r="B43" s="120" t="inlineStr">
        <is>
          <t>CHAPA_43</t>
        </is>
      </c>
      <c r="C43" s="136">
        <f>AC43</f>
        <v/>
      </c>
      <c r="D43" s="136">
        <f>C43*0.1818</f>
        <v/>
      </c>
      <c r="E43" s="136">
        <f>SUM(C43:D43)</f>
        <v/>
      </c>
      <c r="F43" s="136">
        <f>E43*0.1111</f>
        <v/>
      </c>
      <c r="G43" s="136">
        <f>E43*0.083</f>
        <v/>
      </c>
      <c r="H43" s="136">
        <f>SUM(E43:G43)*0.08</f>
        <v/>
      </c>
      <c r="I43" s="135">
        <f>AC15</f>
        <v/>
      </c>
      <c r="J43" s="135">
        <f>IF(I15=0,0,VLOOKUP(#REF!,$B$6:$I$26,8,0))</f>
        <v/>
      </c>
      <c r="K43" s="136">
        <f>IF(E43+I43&lt;=$K$60,(E43+I43)*J79-J43,IF(E43+I43&lt;=$K$61,(E43+I43)*J80-J43,IF(E43+I43&lt;=$K$62,(E43+I43)*L81-J43,513.0125)))</f>
        <v/>
      </c>
      <c r="L43" s="22" t="n"/>
      <c r="M43" s="32" t="n">
        <v>112.76</v>
      </c>
      <c r="N43" s="32" t="n">
        <v>119.45</v>
      </c>
      <c r="O43" s="32" t="n">
        <v>51.26</v>
      </c>
      <c r="P43" s="32" t="n">
        <v>0</v>
      </c>
      <c r="Q43" s="32" t="n">
        <v>112.76</v>
      </c>
      <c r="R43" s="32" t="n">
        <v>112.76</v>
      </c>
      <c r="S43" s="32" t="n">
        <v>112.76</v>
      </c>
      <c r="T43" s="32" t="n">
        <v>112.76</v>
      </c>
      <c r="U43" s="32" t="n">
        <v>112.76</v>
      </c>
      <c r="V43" s="32" t="n">
        <v>44.848125</v>
      </c>
      <c r="W43" s="32" t="n">
        <v>0</v>
      </c>
      <c r="X43" s="32" t="n">
        <v>112.76</v>
      </c>
      <c r="Y43" s="32" t="n">
        <v>112.77</v>
      </c>
      <c r="Z43" s="32" t="n">
        <v>112.76</v>
      </c>
      <c r="AA43" s="32" t="n">
        <v>112.76</v>
      </c>
      <c r="AB43" s="32" t="n">
        <v>112.76</v>
      </c>
      <c r="AC43" s="137">
        <f>SUM(M43:AB43)</f>
        <v/>
      </c>
      <c r="AD43" s="115" t="n"/>
      <c r="AE43" s="115" t="n"/>
      <c r="AF43" s="115" t="n"/>
      <c r="AG43" s="115" t="n"/>
      <c r="AH43" s="115" t="n"/>
      <c r="AI43" s="115" t="n"/>
      <c r="AJ43" s="115" t="n"/>
      <c r="AK43" s="115" t="n"/>
      <c r="AL43" s="115" t="n"/>
      <c r="AM43" s="115" t="n"/>
      <c r="AN43" s="115" t="n"/>
      <c r="AO43" s="115" t="n"/>
    </row>
    <row r="44" ht="21" customFormat="1" customHeight="1" s="116">
      <c r="A44" s="93" t="inlineStr">
        <is>
          <t>FRANCA</t>
        </is>
      </c>
      <c r="B44" s="117" t="inlineStr">
        <is>
          <t>CHAPA_46</t>
        </is>
      </c>
      <c r="C44" s="136">
        <f>AC44</f>
        <v/>
      </c>
      <c r="D44" s="136">
        <f>C44*0.1818</f>
        <v/>
      </c>
      <c r="E44" s="136">
        <f>SUM(C44:D44)</f>
        <v/>
      </c>
      <c r="F44" s="136">
        <f>E44*0.1111</f>
        <v/>
      </c>
      <c r="G44" s="136">
        <f>E44*0.083</f>
        <v/>
      </c>
      <c r="H44" s="136">
        <f>SUM(E44:G44)*0.08</f>
        <v/>
      </c>
      <c r="I44" s="135">
        <f>AC16</f>
        <v/>
      </c>
      <c r="J44" s="135">
        <f>IF(I16=0,0,VLOOKUP(#REF!,$B$6:$I$26,8,0))</f>
        <v/>
      </c>
      <c r="K44" s="136">
        <f>IF(E44+I44&lt;=$K$60,(E44+I44)*J80-J44,IF(E44+I44&lt;=$K$61,(E44+I44)*J81-J44,IF(E44+I44&lt;=$K$62,(E44+I44)*L82-J44,513.0125)))</f>
        <v/>
      </c>
      <c r="L44" s="22" t="n"/>
      <c r="M44" s="32" t="n">
        <v>112.76</v>
      </c>
      <c r="N44" s="32" t="n">
        <v>119.45</v>
      </c>
      <c r="O44" s="32" t="n">
        <v>51.26</v>
      </c>
      <c r="P44" s="32" t="n">
        <v>0</v>
      </c>
      <c r="Q44" s="32" t="n">
        <v>51.26</v>
      </c>
      <c r="R44" s="32" t="n">
        <v>112.76</v>
      </c>
      <c r="S44" s="32" t="n">
        <v>51.26</v>
      </c>
      <c r="T44" s="32" t="n">
        <v>112.76</v>
      </c>
      <c r="U44" s="32" t="n">
        <v>112.76</v>
      </c>
      <c r="V44" s="32" t="n">
        <v>0</v>
      </c>
      <c r="W44" s="32" t="n">
        <v>0</v>
      </c>
      <c r="X44" s="32" t="n">
        <v>112.76</v>
      </c>
      <c r="Y44" s="32" t="n">
        <v>112.77</v>
      </c>
      <c r="Z44" s="32" t="n">
        <v>0</v>
      </c>
      <c r="AA44" s="32" t="n">
        <v>112.76</v>
      </c>
      <c r="AB44" s="32" t="n">
        <v>0</v>
      </c>
      <c r="AC44" s="137">
        <f>SUM(M44:AB44)</f>
        <v/>
      </c>
      <c r="AD44" s="115" t="n"/>
      <c r="AE44" s="115" t="n"/>
      <c r="AF44" s="115" t="n"/>
      <c r="AG44" s="115" t="n"/>
      <c r="AH44" s="115" t="n"/>
      <c r="AI44" s="115" t="n"/>
      <c r="AJ44" s="115" t="n"/>
      <c r="AK44" s="115" t="n"/>
      <c r="AL44" s="115" t="n"/>
      <c r="AM44" s="115" t="n"/>
      <c r="AN44" s="115" t="n"/>
      <c r="AO44" s="115" t="n"/>
    </row>
    <row r="45" ht="21" customFormat="1" customHeight="1" s="116">
      <c r="A45" s="93" t="inlineStr">
        <is>
          <t>FRANCA</t>
        </is>
      </c>
      <c r="B45" s="123" t="n"/>
      <c r="C45" s="136">
        <f>AC45</f>
        <v/>
      </c>
      <c r="D45" s="136">
        <f>C45*0.1818</f>
        <v/>
      </c>
      <c r="E45" s="136">
        <f>SUM(C45:D45)</f>
        <v/>
      </c>
      <c r="F45" s="136">
        <f>E45*0.1111</f>
        <v/>
      </c>
      <c r="G45" s="136">
        <f>E45*0.083</f>
        <v/>
      </c>
      <c r="H45" s="136">
        <f>SUM(E45:G45)*0.08</f>
        <v/>
      </c>
      <c r="I45" s="135">
        <f>AC17</f>
        <v/>
      </c>
      <c r="J45" s="135">
        <f>IF(I17=0,0,VLOOKUP(#REF!,$B$6:$I$26,8,0))</f>
        <v/>
      </c>
      <c r="K45" s="136">
        <f>IF(E45+I45&lt;=$K$60,(E45+I45)*J81-J45,IF(E45+I45&lt;=$K$61,(E45+I45)*J82-J45,IF(E45+I45&lt;=$K$62,(E45+I45)*L83-J45,513.0125)))</f>
        <v/>
      </c>
      <c r="L45" s="2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137">
        <f>SUM(M45:AB45)</f>
        <v/>
      </c>
      <c r="AD45" s="115" t="n"/>
      <c r="AE45" s="115" t="n"/>
      <c r="AF45" s="115" t="n"/>
      <c r="AG45" s="115" t="n"/>
      <c r="AH45" s="115" t="n"/>
      <c r="AI45" s="115" t="n"/>
      <c r="AJ45" s="115" t="n"/>
      <c r="AK45" s="115" t="n"/>
      <c r="AL45" s="115" t="n"/>
      <c r="AM45" s="115" t="n"/>
      <c r="AN45" s="115" t="n"/>
      <c r="AO45" s="115" t="n"/>
    </row>
    <row r="46" ht="21" customFormat="1" customHeight="1" s="116">
      <c r="A46" s="93" t="inlineStr">
        <is>
          <t>FRANCA</t>
        </is>
      </c>
      <c r="B46" s="123" t="n"/>
      <c r="C46" s="136">
        <f>AC46</f>
        <v/>
      </c>
      <c r="D46" s="136">
        <f>C46*0.1818</f>
        <v/>
      </c>
      <c r="E46" s="136">
        <f>SUM(C46:D46)</f>
        <v/>
      </c>
      <c r="F46" s="136">
        <f>E46*0.1111</f>
        <v/>
      </c>
      <c r="G46" s="136">
        <f>E46*0.083</f>
        <v/>
      </c>
      <c r="H46" s="136">
        <f>SUM(E46:G46)*0.08</f>
        <v/>
      </c>
      <c r="I46" s="135">
        <f>AC18</f>
        <v/>
      </c>
      <c r="J46" s="135">
        <f>IF(I18=0,0,VLOOKUP(#REF!,$B$6:$I$26,8,0))</f>
        <v/>
      </c>
      <c r="K46" s="136">
        <f>IF(E46+I46&lt;=$K$60,(E46+I46)*J82-J46,IF(E46+I46&lt;=$K$61,(E46+I46)*J83-J46,IF(E46+I46&lt;=$K$62,(E46+I46)*L84-J46,513.0125)))</f>
        <v/>
      </c>
      <c r="L46" s="22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  <c r="AB46" s="32" t="n"/>
      <c r="AC46" s="137">
        <f>SUM(M46:AB46)</f>
        <v/>
      </c>
      <c r="AD46" s="115" t="n"/>
      <c r="AE46" s="115" t="n"/>
      <c r="AF46" s="115" t="n"/>
      <c r="AG46" s="115" t="n"/>
      <c r="AH46" s="115" t="n"/>
      <c r="AI46" s="115" t="n"/>
      <c r="AJ46" s="115" t="n"/>
      <c r="AK46" s="115" t="n"/>
      <c r="AL46" s="115" t="n"/>
      <c r="AM46" s="115" t="n"/>
      <c r="AN46" s="115" t="n"/>
      <c r="AO46" s="115" t="n"/>
    </row>
    <row r="47" ht="21" customFormat="1" customHeight="1" s="116">
      <c r="A47" s="93" t="inlineStr">
        <is>
          <t>FRANCA</t>
        </is>
      </c>
      <c r="B47" s="117" t="n"/>
      <c r="C47" s="136" t="n">
        <v>0</v>
      </c>
      <c r="D47" s="136">
        <f>C47*0.1818</f>
        <v/>
      </c>
      <c r="E47" s="136">
        <f>SUM(C47:D47)</f>
        <v/>
      </c>
      <c r="F47" s="136">
        <f>E47*0.1111</f>
        <v/>
      </c>
      <c r="G47" s="136">
        <f>E47*0.083</f>
        <v/>
      </c>
      <c r="H47" s="136">
        <f>SUM(E47:G47)*0.08</f>
        <v/>
      </c>
      <c r="I47" s="135">
        <f>AC19</f>
        <v/>
      </c>
      <c r="J47" s="135">
        <f>IF(I19=0,0,VLOOKUP(#REF!,$B$6:$I$26,8,0))</f>
        <v/>
      </c>
      <c r="K47" s="136">
        <f>IF(E47+I47&lt;=$K$60,(E47+I47)*J83-J47,IF(E47+I47&lt;=$K$61,(E47+I47)*J84-J47,IF(E47+I47&lt;=$K$62,(E47+I47)*L85-J47,513.0125)))</f>
        <v/>
      </c>
      <c r="L47" s="2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137">
        <f>SUM(M47:AB47)</f>
        <v/>
      </c>
      <c r="AD47" s="115" t="n"/>
      <c r="AE47" s="115" t="n"/>
      <c r="AF47" s="115" t="n"/>
      <c r="AG47" s="115" t="n"/>
      <c r="AH47" s="115" t="n"/>
      <c r="AI47" s="115" t="n"/>
      <c r="AJ47" s="115" t="n"/>
      <c r="AK47" s="115" t="n"/>
      <c r="AL47" s="115" t="n"/>
      <c r="AM47" s="115" t="n"/>
      <c r="AN47" s="115" t="n"/>
      <c r="AO47" s="115" t="n"/>
    </row>
    <row r="48" ht="21" customFormat="1" customHeight="1" s="116">
      <c r="A48" s="93" t="inlineStr">
        <is>
          <t>FRANCA</t>
        </is>
      </c>
      <c r="B48" s="122" t="n"/>
      <c r="C48" s="136">
        <f>AC48</f>
        <v/>
      </c>
      <c r="D48" s="136">
        <f>C48*0.1818</f>
        <v/>
      </c>
      <c r="E48" s="136">
        <f>SUM(C48:D48)</f>
        <v/>
      </c>
      <c r="F48" s="136">
        <f>E48*0.1111</f>
        <v/>
      </c>
      <c r="G48" s="136">
        <f>E48*0.083</f>
        <v/>
      </c>
      <c r="H48" s="136">
        <f>SUM(E48:G48)*0.08</f>
        <v/>
      </c>
      <c r="I48" s="135">
        <f>AC20</f>
        <v/>
      </c>
      <c r="J48" s="135">
        <f>IF(I20=0,0,VLOOKUP(#REF!,$B$6:$I$26,8,0))</f>
        <v/>
      </c>
      <c r="K48" s="136">
        <f>IF(E48+I48&lt;=$K$60,(E48+I48)*J84-J48,IF(E48+I48&lt;=$K$61,(E48+I48)*J85-J48,IF(E48+I48&lt;=$K$62,(E48+I48)*L86-J48,513.0125)))</f>
        <v/>
      </c>
      <c r="L48" s="2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97" t="n"/>
      <c r="AA48" s="97" t="n"/>
      <c r="AB48" s="97" t="n"/>
      <c r="AC48" s="137">
        <f>SUM(M48:AB48)</f>
        <v/>
      </c>
      <c r="AD48" s="115" t="n"/>
      <c r="AE48" s="115" t="n"/>
      <c r="AF48" s="115" t="n"/>
      <c r="AG48" s="115" t="n"/>
      <c r="AH48" s="115" t="n"/>
      <c r="AI48" s="115" t="n"/>
      <c r="AJ48" s="115" t="n"/>
      <c r="AK48" s="115" t="n"/>
      <c r="AL48" s="115" t="n"/>
      <c r="AM48" s="115" t="n"/>
      <c r="AN48" s="115" t="n"/>
      <c r="AO48" s="115" t="n"/>
    </row>
    <row r="49" ht="21" customFormat="1" customHeight="1" s="116">
      <c r="A49" s="93" t="inlineStr">
        <is>
          <t>FRANCA</t>
        </is>
      </c>
      <c r="B49" s="120" t="n"/>
      <c r="C49" s="136">
        <f>AC49</f>
        <v/>
      </c>
      <c r="D49" s="136">
        <f>C49*0.1818</f>
        <v/>
      </c>
      <c r="E49" s="136">
        <f>SUM(C49:D49)</f>
        <v/>
      </c>
      <c r="F49" s="136">
        <f>E49*0.1111</f>
        <v/>
      </c>
      <c r="G49" s="136">
        <f>E49*0.083</f>
        <v/>
      </c>
      <c r="H49" s="136">
        <f>SUM(E49:G49)*0.08</f>
        <v/>
      </c>
      <c r="I49" s="135">
        <f>AC21</f>
        <v/>
      </c>
      <c r="J49" s="135">
        <f>IF(I21=0,0,VLOOKUP(B16,$B$6:$I$26,8,0))</f>
        <v/>
      </c>
      <c r="K49" s="136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137">
        <f>SUM(M49:AB49)</f>
        <v/>
      </c>
      <c r="AD49" s="115" t="n"/>
      <c r="AE49" s="115" t="n"/>
      <c r="AF49" s="115" t="n"/>
      <c r="AG49" s="115" t="n"/>
      <c r="AH49" s="115" t="n"/>
      <c r="AI49" s="115" t="n"/>
      <c r="AJ49" s="115" t="n"/>
      <c r="AK49" s="115" t="n"/>
      <c r="AL49" s="115" t="n"/>
      <c r="AM49" s="115" t="n"/>
      <c r="AN49" s="115" t="n"/>
      <c r="AO49" s="115" t="n"/>
    </row>
    <row r="50" ht="21" customFormat="1" customHeight="1" s="116">
      <c r="A50" s="93" t="inlineStr">
        <is>
          <t>FRANCA</t>
        </is>
      </c>
      <c r="B50" s="120" t="n"/>
      <c r="C50" s="136">
        <f>AC50</f>
        <v/>
      </c>
      <c r="D50" s="136">
        <f>C50*0.1818</f>
        <v/>
      </c>
      <c r="E50" s="136">
        <f>SUM(C50:D50)</f>
        <v/>
      </c>
      <c r="F50" s="136">
        <f>E50*0.1111</f>
        <v/>
      </c>
      <c r="G50" s="136">
        <f>E50*0.083</f>
        <v/>
      </c>
      <c r="H50" s="136">
        <f>SUM(E50:G50)*0.08</f>
        <v/>
      </c>
      <c r="I50" s="135">
        <f>AC22</f>
        <v/>
      </c>
      <c r="J50" s="135">
        <f>IF(I22=0,0,VLOOKUP(#REF!,$B$6:$I$26,8,0))</f>
        <v/>
      </c>
      <c r="K50" s="136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137">
        <f>SUM(M50:AB50)</f>
        <v/>
      </c>
      <c r="AD50" s="115" t="n"/>
      <c r="AE50" s="115" t="n"/>
      <c r="AF50" s="115" t="n"/>
      <c r="AG50" s="115" t="n"/>
      <c r="AH50" s="115" t="n"/>
      <c r="AI50" s="115" t="n"/>
      <c r="AJ50" s="115" t="n"/>
      <c r="AK50" s="115" t="n"/>
      <c r="AL50" s="115" t="n"/>
      <c r="AM50" s="115" t="n"/>
      <c r="AN50" s="115" t="n"/>
      <c r="AO50" s="115" t="n"/>
    </row>
    <row r="51" ht="21" customFormat="1" customHeight="1" s="116">
      <c r="A51" s="93" t="inlineStr">
        <is>
          <t>FRANCA</t>
        </is>
      </c>
      <c r="B51" s="123" t="n"/>
      <c r="C51" s="136">
        <f>AC51</f>
        <v/>
      </c>
      <c r="D51" s="136">
        <f>C51*0.1818</f>
        <v/>
      </c>
      <c r="E51" s="136">
        <f>SUM(C51:D51)</f>
        <v/>
      </c>
      <c r="F51" s="136">
        <f>E51*0.1111</f>
        <v/>
      </c>
      <c r="G51" s="136">
        <f>E51*0.083</f>
        <v/>
      </c>
      <c r="H51" s="136">
        <f>SUM(E51:G51)*0.08</f>
        <v/>
      </c>
      <c r="I51" s="135">
        <f>AC23</f>
        <v/>
      </c>
      <c r="J51" s="135">
        <f>IF(I23=0,0,VLOOKUP(#REF!,$B$6:$I$26,8,0))</f>
        <v/>
      </c>
      <c r="K51" s="136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137">
        <f>SUM(M51:AB51)</f>
        <v/>
      </c>
      <c r="AD51" s="115" t="n"/>
      <c r="AE51" s="115" t="n"/>
      <c r="AF51" s="115" t="n"/>
      <c r="AG51" s="115" t="n"/>
      <c r="AH51" s="115" t="n"/>
      <c r="AI51" s="115" t="n"/>
      <c r="AJ51" s="115" t="n"/>
      <c r="AK51" s="115" t="n"/>
      <c r="AL51" s="115" t="n"/>
      <c r="AM51" s="115" t="n"/>
      <c r="AN51" s="115" t="n"/>
      <c r="AO51" s="115" t="n"/>
    </row>
    <row r="52" ht="21" customFormat="1" customHeight="1" s="116">
      <c r="A52" s="93" t="inlineStr">
        <is>
          <t>FRANCA</t>
        </is>
      </c>
      <c r="B52" s="123" t="n"/>
      <c r="C52" s="136">
        <f>AC52</f>
        <v/>
      </c>
      <c r="D52" s="136">
        <f>C52*0.1818</f>
        <v/>
      </c>
      <c r="E52" s="136">
        <f>SUM(C52:D52)</f>
        <v/>
      </c>
      <c r="F52" s="136">
        <f>E52*0.1111</f>
        <v/>
      </c>
      <c r="G52" s="136">
        <f>E52*0.083</f>
        <v/>
      </c>
      <c r="H52" s="136">
        <f>SUM(E52:G52)*0.08</f>
        <v/>
      </c>
      <c r="I52" s="135">
        <f>AC24</f>
        <v/>
      </c>
      <c r="J52" s="135">
        <f>IF(I24=0,0,VLOOKUP(#REF!,$B$6:$I$26,8,0))</f>
        <v/>
      </c>
      <c r="K52" s="136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137">
        <f>SUM(M52:AB52)</f>
        <v/>
      </c>
      <c r="AD52" s="115" t="n"/>
      <c r="AE52" s="115" t="n"/>
      <c r="AF52" s="115" t="n"/>
      <c r="AG52" s="115" t="n"/>
      <c r="AH52" s="115" t="n"/>
      <c r="AI52" s="115" t="n"/>
      <c r="AJ52" s="115" t="n"/>
      <c r="AK52" s="115" t="n"/>
      <c r="AL52" s="115" t="inlineStr">
        <is>
          <t xml:space="preserve"> </t>
        </is>
      </c>
      <c r="AM52" s="115" t="n"/>
      <c r="AN52" s="115" t="n"/>
      <c r="AO52" s="115" t="n"/>
    </row>
    <row r="53" ht="21" customFormat="1" customHeight="1" s="116">
      <c r="A53" s="93" t="inlineStr">
        <is>
          <t>FRANCA</t>
        </is>
      </c>
      <c r="B53" s="123" t="n"/>
      <c r="C53" s="136">
        <f>AC53</f>
        <v/>
      </c>
      <c r="D53" s="136">
        <f>C53*0.1818</f>
        <v/>
      </c>
      <c r="E53" s="136">
        <f>SUM(C53:D53)</f>
        <v/>
      </c>
      <c r="F53" s="136">
        <f>E53*0.1111</f>
        <v/>
      </c>
      <c r="G53" s="136">
        <f>E53*0.083</f>
        <v/>
      </c>
      <c r="H53" s="136">
        <f>SUM(E53:G53)*0.08</f>
        <v/>
      </c>
      <c r="I53" s="135">
        <f>AC25</f>
        <v/>
      </c>
      <c r="J53" s="135">
        <f>IF(I25=0,0,VLOOKUP(#REF!,$B$6:$I$26,8,0))</f>
        <v/>
      </c>
      <c r="K53" s="136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137">
        <f>SUM(M53:AB53)</f>
        <v/>
      </c>
      <c r="AD53" s="115" t="n"/>
      <c r="AE53" s="115" t="n"/>
      <c r="AF53" s="115" t="n"/>
      <c r="AG53" s="115" t="n"/>
      <c r="AH53" s="115" t="n"/>
      <c r="AI53" s="115" t="n"/>
      <c r="AJ53" s="115" t="n"/>
      <c r="AK53" s="115" t="n"/>
      <c r="AL53" s="115" t="n"/>
      <c r="AM53" s="115" t="n"/>
      <c r="AN53" s="115" t="n"/>
      <c r="AO53" s="115" t="n"/>
    </row>
    <row r="54" ht="21" customFormat="1" customHeight="1" s="116">
      <c r="A54" s="93" t="inlineStr">
        <is>
          <t>FRANCA</t>
        </is>
      </c>
      <c r="B54" s="123" t="n"/>
      <c r="C54" s="136">
        <f>AC54</f>
        <v/>
      </c>
      <c r="D54" s="136">
        <f>C54*0.1818</f>
        <v/>
      </c>
      <c r="E54" s="136">
        <f>SUM(C54:D54)</f>
        <v/>
      </c>
      <c r="F54" s="136">
        <f>E54*0.1111</f>
        <v/>
      </c>
      <c r="G54" s="136">
        <f>E54*0.083</f>
        <v/>
      </c>
      <c r="H54" s="136">
        <f>SUM(E54:G54)*0.08</f>
        <v/>
      </c>
      <c r="I54" s="135">
        <f>AC26</f>
        <v/>
      </c>
      <c r="J54" s="135">
        <f>IF(I26=0,0,VLOOKUP(#REF!,$B$6:$I$26,8,0))</f>
        <v/>
      </c>
      <c r="K54" s="136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137">
        <f>SUM(M54:AB54)</f>
        <v/>
      </c>
      <c r="AD54" s="115" t="n"/>
      <c r="AE54" s="115" t="n"/>
      <c r="AF54" s="115" t="n"/>
      <c r="AG54" s="115" t="n"/>
      <c r="AH54" s="115" t="n"/>
      <c r="AI54" s="115" t="n"/>
      <c r="AJ54" s="115" t="n"/>
      <c r="AK54" s="115" t="n"/>
      <c r="AL54" s="115" t="n"/>
      <c r="AM54" s="115" t="n"/>
      <c r="AN54" s="115" t="n"/>
      <c r="AO54" s="115" t="n"/>
    </row>
    <row r="55" ht="21" customFormat="1" customHeight="1" s="116" thickBot="1">
      <c r="A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25" t="n"/>
      <c r="N55" s="125" t="n">
        <v>29</v>
      </c>
      <c r="O55" s="125">
        <f>COUNT(#REF!)</f>
        <v/>
      </c>
      <c r="P55" s="125">
        <f>COUNT(#REF!)</f>
        <v/>
      </c>
      <c r="Q55" s="125">
        <f>COUNT(#REF!)</f>
        <v/>
      </c>
      <c r="R55" s="125" t="n"/>
      <c r="S55" s="125">
        <f>COUNT(#REF!)</f>
        <v/>
      </c>
      <c r="T55" s="125">
        <f>COUNT(#REF!)</f>
        <v/>
      </c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14" t="n"/>
      <c r="AE55" s="115" t="n"/>
      <c r="AF55" s="115" t="n"/>
      <c r="AG55" s="115" t="n"/>
      <c r="AH55" s="115" t="n"/>
      <c r="AI55" s="115" t="n"/>
      <c r="AJ55" s="115" t="n"/>
      <c r="AK55" s="115" t="n"/>
      <c r="AL55" s="115" t="n"/>
      <c r="AM55" s="115" t="n"/>
      <c r="AN55" s="115" t="n"/>
      <c r="AO55" s="115" t="n"/>
      <c r="AP55" s="115" t="n"/>
    </row>
    <row r="56" ht="21" customFormat="1" customHeight="1" s="116">
      <c r="L56" s="114" t="n"/>
      <c r="M56" s="165" t="inlineStr">
        <is>
          <t>TOTAL GERAL / BOLETIM ENSACADORES:</t>
        </is>
      </c>
      <c r="N56" s="166" t="n"/>
      <c r="O56" s="166" t="n"/>
      <c r="P56" s="166" t="n"/>
      <c r="Q56" s="166" t="n"/>
      <c r="R56" s="166" t="n"/>
      <c r="S56" s="166" t="n"/>
      <c r="T56" s="166" t="n"/>
      <c r="U56" s="166" t="n"/>
      <c r="V56" s="166" t="n"/>
      <c r="W56" s="166" t="n"/>
      <c r="X56" s="166" t="n"/>
      <c r="Y56" s="166" t="n"/>
      <c r="Z56" s="166" t="n"/>
      <c r="AA56" s="166" t="n"/>
      <c r="AB56" s="166" t="n"/>
      <c r="AC56" s="167" t="n"/>
      <c r="AD56" s="129" t="inlineStr">
        <is>
          <t>TOTAL:</t>
        </is>
      </c>
      <c r="AE56" s="115" t="n"/>
      <c r="AF56" s="115" t="n"/>
      <c r="AG56" s="115" t="n"/>
      <c r="AH56" s="115" t="n"/>
      <c r="AI56" s="115" t="n"/>
      <c r="AJ56" s="115" t="n"/>
      <c r="AK56" s="115" t="n"/>
      <c r="AL56" s="115" t="n"/>
      <c r="AM56" s="115" t="n"/>
      <c r="AN56" s="115" t="n"/>
      <c r="AO56" s="115" t="n"/>
      <c r="AP56" s="115" t="n"/>
    </row>
    <row r="57" ht="22.8" customFormat="1" customHeight="1" s="116">
      <c r="L57" s="114" t="n"/>
      <c r="M57" s="130">
        <f>SUM(M36:M54)</f>
        <v/>
      </c>
      <c r="N57" s="130">
        <f>SUM(N36:N54)</f>
        <v/>
      </c>
      <c r="O57" s="130">
        <f>SUM(O36:O54)</f>
        <v/>
      </c>
      <c r="P57" s="130">
        <f>SUM(P36:P54)</f>
        <v/>
      </c>
      <c r="Q57" s="130">
        <f>SUM(Q36:Q54)</f>
        <v/>
      </c>
      <c r="R57" s="130">
        <f>SUM(R36:R54)</f>
        <v/>
      </c>
      <c r="S57" s="130">
        <f>SUM(S36:S54)</f>
        <v/>
      </c>
      <c r="T57" s="130">
        <f>SUM(T36:T54)</f>
        <v/>
      </c>
      <c r="U57" s="130">
        <f>SUM(U36:U54)</f>
        <v/>
      </c>
      <c r="V57" s="130">
        <f>SUM(V36:V54)</f>
        <v/>
      </c>
      <c r="W57" s="130">
        <f>SUM(W36:W54)</f>
        <v/>
      </c>
      <c r="X57" s="130">
        <f>SUM(X36:X54)</f>
        <v/>
      </c>
      <c r="Y57" s="130">
        <f>SUM(Y36:Y54)</f>
        <v/>
      </c>
      <c r="Z57" s="130">
        <f>SUM(Z36:Z54)</f>
        <v/>
      </c>
      <c r="AA57" s="130">
        <f>SUM(AA36:AA54)</f>
        <v/>
      </c>
      <c r="AB57" s="130">
        <f>SUM(AB36:AB54)</f>
        <v/>
      </c>
      <c r="AC57" s="131" t="n"/>
      <c r="AD57" s="132">
        <f>SUM(M57:AB57)</f>
        <v/>
      </c>
      <c r="AE57" s="115" t="n"/>
      <c r="AF57" s="168" t="inlineStr">
        <is>
          <t>TOTAL FATURA</t>
        </is>
      </c>
      <c r="AG57" s="162" t="n"/>
      <c r="AH57" s="115" t="n"/>
      <c r="AI57" s="115" t="n"/>
      <c r="AJ57" s="115" t="n"/>
      <c r="AK57" s="115" t="n"/>
      <c r="AL57" s="115" t="n"/>
      <c r="AM57" s="115" t="n"/>
      <c r="AN57" s="115" t="n"/>
      <c r="AO57" s="115" t="n"/>
      <c r="AP57" s="115" t="n"/>
    </row>
    <row r="58" ht="22.8" customFormat="1" customHeight="1" s="116">
      <c r="L58" s="114" t="n"/>
      <c r="AE58" s="115" t="n"/>
      <c r="AF58" s="161">
        <f>SUM(AD29,AD57)</f>
        <v/>
      </c>
      <c r="AG58" s="162" t="n"/>
      <c r="AH58" s="115" t="n"/>
      <c r="AI58" s="115" t="n"/>
      <c r="AJ58" s="115" t="n"/>
      <c r="AK58" s="115" t="n"/>
      <c r="AL58" s="115" t="n"/>
      <c r="AM58" s="115" t="n"/>
      <c r="AN58" s="115" t="n"/>
      <c r="AO58" s="115" t="n"/>
      <c r="AP58" s="115" t="n"/>
    </row>
    <row r="59" ht="21" customFormat="1" customHeight="1" s="116" thickBot="1">
      <c r="L59" s="114" t="n"/>
      <c r="AE59" s="115" t="n"/>
      <c r="AF59" s="115" t="n"/>
      <c r="AG59" s="115" t="n"/>
      <c r="AH59" s="115" t="n"/>
      <c r="AI59" s="115" t="n"/>
      <c r="AJ59" s="115" t="n"/>
      <c r="AK59" s="115" t="n"/>
      <c r="AL59" s="115" t="n"/>
      <c r="AM59" s="115" t="n"/>
      <c r="AN59" s="115" t="n"/>
      <c r="AO59" s="115" t="n"/>
      <c r="AP59" s="115" t="n"/>
    </row>
    <row r="60" ht="21.6" customFormat="1" customHeight="1" s="116" thickBot="1">
      <c r="A60" s="138" t="inlineStr">
        <is>
          <t>MÉDIA DIARIA CHAPAS</t>
        </is>
      </c>
      <c r="B60" s="156" t="n"/>
      <c r="C60" s="134" t="n">
        <v>11</v>
      </c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43" t="n"/>
      <c r="N60" s="143" t="n"/>
      <c r="O60" s="143" t="n"/>
      <c r="P60" s="143" t="n"/>
      <c r="Q60" s="143" t="n"/>
      <c r="R60" s="143" t="n"/>
      <c r="S60" s="143" t="n"/>
      <c r="T60" s="143" t="n"/>
      <c r="U60" s="143" t="n"/>
      <c r="V60" s="143" t="n"/>
      <c r="W60" s="143" t="n"/>
      <c r="X60" s="143" t="n"/>
      <c r="Y60" s="143" t="n"/>
      <c r="Z60" s="143" t="n"/>
      <c r="AA60" s="143" t="n"/>
      <c r="AB60" s="143" t="n"/>
      <c r="AC60" s="143" t="n"/>
      <c r="AD60" s="143" t="n"/>
      <c r="AE60" s="115" t="n"/>
      <c r="AF60" s="115" t="n"/>
      <c r="AG60" s="115" t="n"/>
      <c r="AH60" s="115" t="n"/>
      <c r="AI60" s="115" t="n"/>
      <c r="AJ60" s="115" t="n"/>
      <c r="AK60" s="115" t="n"/>
      <c r="AL60" s="115" t="n"/>
      <c r="AM60" s="115" t="n"/>
      <c r="AN60" s="115" t="n"/>
      <c r="AO60" s="115" t="n"/>
      <c r="AP60" s="115" t="n"/>
    </row>
    <row r="61" ht="21.6" customFormat="1" customHeight="1" s="116" thickBot="1">
      <c r="A61" s="169" t="inlineStr">
        <is>
          <t>TOTAL DE CHAPAS NO MÊS</t>
        </is>
      </c>
      <c r="B61" s="156" t="n"/>
      <c r="C61" s="145" t="n">
        <v>11</v>
      </c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5" t="n"/>
      <c r="AF61" s="115" t="n"/>
      <c r="AG61" s="115" t="n"/>
      <c r="AH61" s="115" t="n"/>
      <c r="AI61" s="115" t="n"/>
      <c r="AJ61" s="115" t="n"/>
      <c r="AK61" s="115" t="n"/>
      <c r="AL61" s="115" t="n"/>
      <c r="AM61" s="115" t="n"/>
      <c r="AN61" s="115" t="n"/>
      <c r="AO61" s="115" t="n"/>
      <c r="AP61" s="115" t="n"/>
    </row>
    <row r="62" ht="21" customFormat="1" customHeight="1" s="116">
      <c r="A62" s="146" t="n"/>
      <c r="B62" s="114" t="n"/>
      <c r="C62" s="143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08" t="n"/>
      <c r="N62" s="108" t="n"/>
      <c r="O62" s="108" t="n"/>
      <c r="P62" s="108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5" t="n"/>
      <c r="AF62" s="115" t="n"/>
      <c r="AG62" s="115" t="n"/>
      <c r="AH62" s="115" t="n"/>
      <c r="AI62" s="115" t="n"/>
      <c r="AJ62" s="115" t="n"/>
      <c r="AK62" s="115" t="n"/>
      <c r="AL62" s="115" t="n"/>
      <c r="AM62" s="115" t="n"/>
      <c r="AN62" s="115" t="n"/>
      <c r="AO62" s="115" t="n"/>
      <c r="AP62" s="115" t="n"/>
    </row>
    <row r="63" ht="25.8" customFormat="1" customHeight="1" s="116">
      <c r="A63" s="147" t="n"/>
      <c r="B63" s="148" t="n"/>
      <c r="C63" s="119" t="n"/>
      <c r="L63" s="119" t="n"/>
      <c r="M63" s="119" t="n"/>
      <c r="N63" s="119" t="n"/>
      <c r="O63" s="119" t="n"/>
      <c r="P63" s="119" t="n"/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</row>
    <row r="64" ht="21" customFormat="1" customHeight="1" s="116">
      <c r="A64" s="119" t="n"/>
      <c r="B64" s="119" t="n"/>
      <c r="C64" s="119" t="n"/>
      <c r="L64" s="119" t="n"/>
      <c r="M64" s="119" t="n"/>
      <c r="N64" s="119" t="n"/>
      <c r="O64" s="119" t="n"/>
      <c r="P64" s="119" t="n"/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</row>
    <row r="65" ht="21" customFormat="1" customHeight="1" s="116">
      <c r="A65" s="119" t="n"/>
      <c r="B65" s="119" t="n"/>
      <c r="C65" s="119" t="n"/>
      <c r="L65" s="119" t="n"/>
      <c r="M65" s="119" t="n"/>
      <c r="N65" s="119" t="n"/>
      <c r="O65" s="119" t="n"/>
      <c r="P65" s="119" t="n"/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</row>
    <row r="66" ht="21" customFormat="1" customHeight="1" s="116">
      <c r="A66" s="119" t="n"/>
      <c r="B66" s="119" t="n"/>
      <c r="C66" s="119" t="n"/>
      <c r="L66" s="119" t="n"/>
      <c r="M66" s="119" t="n"/>
      <c r="N66" s="119" t="n"/>
      <c r="O66" s="119" t="n"/>
      <c r="P66" s="119" t="n"/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</row>
    <row r="67" ht="21" customFormat="1" customHeight="1" s="116">
      <c r="A67" s="119" t="n"/>
      <c r="B67" s="119" t="n"/>
      <c r="C67" s="119" t="n"/>
      <c r="L67" s="119" t="n"/>
      <c r="M67" s="119" t="n"/>
      <c r="N67" s="119" t="n"/>
      <c r="O67" s="119" t="n"/>
      <c r="P67" s="119" t="n"/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</row>
    <row r="68" ht="21" customFormat="1" customHeight="1" s="116">
      <c r="A68" s="119" t="n"/>
      <c r="B68" s="119" t="n"/>
      <c r="C68" s="119" t="n"/>
      <c r="L68" s="119" t="n"/>
      <c r="M68" s="119" t="n"/>
      <c r="N68" s="119" t="n"/>
      <c r="O68" s="119" t="n"/>
      <c r="P68" s="119" t="n"/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</row>
    <row r="69" ht="21" customFormat="1" customHeight="1" s="116">
      <c r="A69" s="119" t="n"/>
      <c r="B69" s="119" t="n"/>
      <c r="C69" s="119" t="n"/>
      <c r="L69" s="119" t="n"/>
      <c r="M69" s="119" t="n"/>
      <c r="N69" s="119" t="n"/>
      <c r="O69" s="119" t="n"/>
      <c r="P69" s="119" t="n"/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</row>
    <row r="70" ht="21" customFormat="1" customHeight="1" s="116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</row>
    <row r="71" ht="21" customFormat="1" customHeight="1" s="116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/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</row>
    <row r="72" customFormat="1" s="116"/>
    <row r="73" customFormat="1" s="116"/>
    <row r="74" customFormat="1" s="116"/>
    <row r="75" customFormat="1" s="116"/>
    <row r="76" customFormat="1" s="116"/>
    <row r="77" customFormat="1" s="116"/>
    <row r="78" customFormat="1" s="116"/>
    <row r="79" customFormat="1" s="116"/>
    <row r="80" customFormat="1" s="116"/>
    <row r="81" customFormat="1" s="116"/>
    <row r="82" customFormat="1" s="116"/>
    <row r="83" customFormat="1" s="116"/>
    <row r="84" customFormat="1" s="116"/>
    <row r="85" customFormat="1" s="116"/>
    <row r="86" customFormat="1" s="116"/>
    <row r="87" customFormat="1" s="116"/>
    <row r="88" customFormat="1" s="116"/>
    <row r="89" customFormat="1" s="116"/>
    <row r="90" customFormat="1" s="116"/>
    <row r="91" customFormat="1" s="116"/>
    <row r="92" customFormat="1" s="116"/>
    <row r="93" customFormat="1" s="116"/>
    <row r="94" customFormat="1" s="116"/>
    <row r="95" customFormat="1" s="116"/>
    <row r="96" customFormat="1" s="116"/>
    <row r="97" customFormat="1" s="116"/>
    <row r="98" customFormat="1" s="116"/>
    <row r="99" customFormat="1" s="116"/>
    <row r="100" customFormat="1" s="116"/>
    <row r="101" customFormat="1" s="116"/>
    <row r="102" customFormat="1" s="116"/>
    <row r="103" customFormat="1" s="116"/>
    <row r="104" customFormat="1" s="116"/>
    <row r="105" customFormat="1" s="116"/>
    <row r="106" customFormat="1" s="116"/>
    <row r="107" customFormat="1" s="116"/>
    <row r="108" customFormat="1" s="116"/>
    <row r="109" customFormat="1" s="116"/>
    <row r="110" customFormat="1" s="116"/>
    <row r="111" customFormat="1" s="116"/>
    <row r="112" customFormat="1" s="116"/>
    <row r="113" customFormat="1" s="116"/>
    <row r="114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AD114" s="116" t="n"/>
      <c r="AE114" s="116" t="n"/>
      <c r="AF114" s="116" t="n"/>
      <c r="AG114" s="116" t="n"/>
      <c r="AH114" s="116" t="n"/>
    </row>
  </sheetData>
  <mergeCells count="13">
    <mergeCell ref="A34:K34"/>
    <mergeCell ref="M34:AD34"/>
    <mergeCell ref="M4:AC4"/>
    <mergeCell ref="A60:B60"/>
    <mergeCell ref="M56:AC56"/>
    <mergeCell ref="A2:H2"/>
    <mergeCell ref="AF58:AG58"/>
    <mergeCell ref="M28:AC28"/>
    <mergeCell ref="A3:I3"/>
    <mergeCell ref="A1:H1"/>
    <mergeCell ref="A4:I4"/>
    <mergeCell ref="A61:B61"/>
    <mergeCell ref="AF57:AG57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14"/>
  <sheetViews>
    <sheetView zoomScale="40" zoomScaleNormal="40" workbookViewId="0">
      <selection activeCell="A28" sqref="A28:I30"/>
    </sheetView>
  </sheetViews>
  <sheetFormatPr baseColWidth="8" defaultColWidth="9.109375" defaultRowHeight="14.4"/>
  <cols>
    <col width="14.109375" customWidth="1" style="108" min="1" max="1"/>
    <col width="60.44140625" bestFit="1" customWidth="1" style="108" min="2" max="2"/>
    <col width="16.33203125" bestFit="1" customWidth="1" style="108" min="3" max="3"/>
    <col width="15.109375" bestFit="1" customWidth="1" style="108" min="4" max="4"/>
    <col width="16.33203125" bestFit="1" customWidth="1" style="108" min="5" max="5"/>
    <col width="14.88671875" customWidth="1" style="108" min="6" max="6"/>
    <col width="21.6640625" bestFit="1" customWidth="1" style="108" min="7" max="7"/>
    <col width="15" bestFit="1" customWidth="1" style="108" min="8" max="8"/>
    <col width="14" customWidth="1" style="108" min="9" max="9"/>
    <col width="20.88671875" customWidth="1" style="108" min="10" max="10"/>
    <col width="20.6640625" customWidth="1" style="108" min="11" max="11"/>
    <col width="3" customWidth="1" style="108" min="12" max="12"/>
    <col width="82.33203125" bestFit="1" customWidth="1" style="108" min="13" max="13"/>
    <col width="15.33203125" customWidth="1" style="108" min="14" max="14"/>
    <col width="15.109375" customWidth="1" style="108" min="15" max="15"/>
    <col width="14.6640625" customWidth="1" style="108" min="16" max="16"/>
    <col width="15.109375" customWidth="1" style="108" min="17" max="17"/>
    <col width="15.109375" bestFit="1" customWidth="1" style="108" min="18" max="19"/>
    <col width="14.6640625" customWidth="1" style="108" min="20" max="20"/>
    <col width="15.109375" customWidth="1" style="108" min="21" max="21"/>
    <col width="14.44140625" customWidth="1" style="108" min="22" max="22"/>
    <col width="15" customWidth="1" style="108" min="23" max="26"/>
    <col width="14.88671875" customWidth="1" style="108" min="27" max="28"/>
    <col width="14" customWidth="1" style="108" min="29" max="29"/>
    <col width="19" bestFit="1" customWidth="1" style="108" min="30" max="30"/>
    <col width="9.109375" customWidth="1" style="108" min="31" max="31"/>
    <col width="10.33203125" bestFit="1" customWidth="1" style="108" min="32" max="32"/>
    <col width="20" customWidth="1" style="108" min="33" max="33"/>
    <col width="10.33203125" bestFit="1" customWidth="1" style="108" min="34" max="34"/>
    <col width="9.109375" customWidth="1" style="108" min="35" max="35"/>
    <col width="10.33203125" bestFit="1" customWidth="1" style="108" min="36" max="37"/>
    <col width="9.109375" customWidth="1" style="108" min="38" max="38"/>
    <col width="10.33203125" bestFit="1" customWidth="1" style="108" min="39" max="39"/>
    <col width="9.109375" customWidth="1" style="108" min="40" max="16384"/>
  </cols>
  <sheetData>
    <row r="1" ht="30" customHeight="1">
      <c r="A1" s="104" t="inlineStr">
        <is>
          <t xml:space="preserve">                                           COOPERATIVA DE CAFEICULTORES E AGROPECUARISTAS</t>
        </is>
      </c>
      <c r="B1" s="152" t="n"/>
      <c r="C1" s="152" t="n"/>
      <c r="D1" s="152" t="n"/>
      <c r="E1" s="152" t="n"/>
      <c r="F1" s="152" t="n"/>
      <c r="G1" s="152" t="n"/>
      <c r="H1" s="152" t="n"/>
      <c r="I1" s="106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</row>
    <row r="2" ht="30" customHeight="1" thickBot="1">
      <c r="A2" s="109" t="inlineStr">
        <is>
          <t xml:space="preserve">                                                    CALCULOS ENSACADORES -  BOLETIM DIARIO</t>
        </is>
      </c>
      <c r="B2" s="153" t="n"/>
      <c r="C2" s="153" t="n"/>
      <c r="D2" s="153" t="n"/>
      <c r="E2" s="153" t="n"/>
      <c r="F2" s="153" t="n"/>
      <c r="G2" s="153" t="n"/>
      <c r="H2" s="153" t="n"/>
      <c r="I2" s="111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  <c r="V2" s="107" t="n"/>
      <c r="W2" s="107" t="n"/>
      <c r="X2" s="107" t="n"/>
      <c r="Y2" s="107" t="n"/>
      <c r="Z2" s="107" t="n"/>
      <c r="AA2" s="107" t="n"/>
      <c r="AB2" s="107" t="n"/>
      <c r="AC2" s="107" t="n"/>
      <c r="AD2" s="107" t="n"/>
      <c r="AE2" s="107" t="n"/>
      <c r="AF2" s="107" t="n"/>
      <c r="AG2" s="107" t="n"/>
      <c r="AH2" s="107" t="n"/>
      <c r="AI2" s="107" t="n"/>
      <c r="AJ2" s="107" t="n"/>
      <c r="AK2" s="107" t="n"/>
      <c r="AL2" s="107" t="n"/>
      <c r="AM2" s="107" t="n"/>
      <c r="AN2" s="107" t="n"/>
      <c r="AO2" s="107" t="n"/>
      <c r="AP2" s="107" t="n"/>
    </row>
    <row r="3" ht="21" customHeight="1" thickBot="1">
      <c r="A3" s="154" t="inlineStr">
        <is>
          <t>COCAPEC - INSUMOS MATRIZ/DIARISTA</t>
        </is>
      </c>
      <c r="B3" s="155" t="n"/>
      <c r="C3" s="155" t="n"/>
      <c r="D3" s="155" t="n"/>
      <c r="E3" s="155" t="n"/>
      <c r="F3" s="155" t="n"/>
      <c r="G3" s="155" t="n"/>
      <c r="H3" s="155" t="n"/>
      <c r="I3" s="156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</row>
    <row r="4" ht="21" customHeight="1">
      <c r="A4" s="157" t="inlineStr">
        <is>
          <t>1ª QUINZENA</t>
        </is>
      </c>
      <c r="B4" s="152" t="n"/>
      <c r="C4" s="152" t="n"/>
      <c r="D4" s="152" t="n"/>
      <c r="E4" s="152" t="n"/>
      <c r="F4" s="152" t="n"/>
      <c r="G4" s="152" t="n"/>
      <c r="H4" s="152" t="n"/>
      <c r="I4" s="158" t="n"/>
      <c r="J4" s="112" t="n"/>
      <c r="K4" s="112" t="n"/>
      <c r="L4" s="112" t="n"/>
      <c r="M4" s="102" t="inlineStr">
        <is>
          <t>total</t>
        </is>
      </c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63" t="n"/>
      <c r="AC4" s="162" t="n"/>
      <c r="AD4" s="113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</row>
    <row r="5" ht="21" customFormat="1" customHeight="1" s="116">
      <c r="A5" s="83" t="inlineStr">
        <is>
          <t>LOCAL</t>
        </is>
      </c>
      <c r="B5" s="83" t="inlineStr">
        <is>
          <t>NOME</t>
        </is>
      </c>
      <c r="C5" s="83" t="inlineStr">
        <is>
          <t>DIÁRIA</t>
        </is>
      </c>
      <c r="D5" s="83" t="inlineStr">
        <is>
          <t>DSR</t>
        </is>
      </c>
      <c r="E5" s="83" t="inlineStr">
        <is>
          <t>TOTAL</t>
        </is>
      </c>
      <c r="F5" s="83" t="inlineStr">
        <is>
          <t>FÉRIAS</t>
        </is>
      </c>
      <c r="G5" s="83" t="inlineStr">
        <is>
          <t>13º SALÁRIO</t>
        </is>
      </c>
      <c r="H5" s="83" t="inlineStr">
        <is>
          <t>FGTS</t>
        </is>
      </c>
      <c r="I5" s="83" t="inlineStr">
        <is>
          <t>INSS</t>
        </is>
      </c>
      <c r="J5" s="22" t="n"/>
      <c r="K5" s="114" t="n"/>
      <c r="L5" s="114" t="n"/>
      <c r="M5" s="103" t="n">
        <v>46235</v>
      </c>
      <c r="N5" s="103" t="n">
        <v>46236</v>
      </c>
      <c r="O5" s="103" t="n">
        <v>46237</v>
      </c>
      <c r="P5" s="103" t="n">
        <v>46238</v>
      </c>
      <c r="Q5" s="103" t="n">
        <v>46239</v>
      </c>
      <c r="R5" s="103" t="n">
        <v>46240</v>
      </c>
      <c r="S5" s="103" t="n">
        <v>46241</v>
      </c>
      <c r="T5" s="103" t="n">
        <v>46242</v>
      </c>
      <c r="U5" s="103" t="n">
        <v>46243</v>
      </c>
      <c r="V5" s="103" t="n">
        <v>46244</v>
      </c>
      <c r="W5" s="103" t="n">
        <v>46245</v>
      </c>
      <c r="X5" s="103" t="n">
        <v>46246</v>
      </c>
      <c r="Y5" s="103" t="n">
        <v>46247</v>
      </c>
      <c r="Z5" s="103" t="n">
        <v>46248</v>
      </c>
      <c r="AA5" s="103" t="n">
        <v>46249</v>
      </c>
      <c r="AB5" s="103" t="n"/>
      <c r="AC5" s="83" t="inlineStr">
        <is>
          <t>TOTAL</t>
        </is>
      </c>
      <c r="AD5" s="115" t="n"/>
      <c r="AE5" s="115" t="n"/>
      <c r="AF5" s="115" t="n"/>
      <c r="AG5" s="115" t="n"/>
      <c r="AH5" s="115" t="n"/>
      <c r="AI5" s="115" t="n"/>
      <c r="AJ5" s="115" t="n"/>
      <c r="AK5" s="115" t="n"/>
      <c r="AL5" s="115" t="n"/>
      <c r="AM5" s="115" t="n"/>
      <c r="AN5" s="115" t="n"/>
      <c r="AO5" s="115" t="n"/>
    </row>
    <row r="6" ht="21" customFormat="1" customHeight="1" s="116">
      <c r="A6" s="83" t="inlineStr">
        <is>
          <t>FRANCA</t>
        </is>
      </c>
      <c r="B6" s="117" t="inlineStr">
        <is>
          <t>CHAPA_06</t>
        </is>
      </c>
      <c r="C6" s="118">
        <f>AC6</f>
        <v/>
      </c>
      <c r="D6" s="118">
        <f>C6*0.1818</f>
        <v/>
      </c>
      <c r="E6" s="118">
        <f>SUM(C6:D6)</f>
        <v/>
      </c>
      <c r="F6" s="118">
        <f>E6*0.1111</f>
        <v/>
      </c>
      <c r="G6" s="118">
        <f>E6*0.083</f>
        <v/>
      </c>
      <c r="H6" s="118">
        <f>SUM(E6:G6)*0.08</f>
        <v/>
      </c>
      <c r="I6" s="118">
        <f>IF(E6&lt;=$F$67,E6*$G$67,IF(E6&lt;=$F$68,E6*$G$68,IF(E6&lt;=$F$69,E6*$G$69,513.0125)))</f>
        <v/>
      </c>
      <c r="J6" s="22" t="n"/>
      <c r="K6" s="114" t="n"/>
      <c r="L6" s="114" t="n"/>
      <c r="M6" s="32" t="n">
        <v>51.26</v>
      </c>
      <c r="N6" s="32" t="n">
        <v>0</v>
      </c>
      <c r="O6" s="32" t="n">
        <v>112.76</v>
      </c>
      <c r="P6" s="32" t="n">
        <v>51.255</v>
      </c>
      <c r="Q6" s="32" t="n">
        <v>112.76</v>
      </c>
      <c r="R6" s="32" t="n">
        <v>112.76</v>
      </c>
      <c r="S6" s="32" t="n">
        <v>112.76</v>
      </c>
      <c r="T6" s="32" t="n">
        <v>0</v>
      </c>
      <c r="U6" s="32" t="n">
        <v>0</v>
      </c>
      <c r="V6" s="32" t="n">
        <v>112.76</v>
      </c>
      <c r="W6" s="32" t="n">
        <v>166.33</v>
      </c>
      <c r="X6" s="32" t="n">
        <v>0</v>
      </c>
      <c r="Y6" s="32" t="n">
        <v>113.59</v>
      </c>
      <c r="Z6" s="32" t="n">
        <v>112.76</v>
      </c>
      <c r="AA6" s="32" t="n">
        <v>0</v>
      </c>
      <c r="AB6" s="32" t="n"/>
      <c r="AC6" s="33">
        <f>SUM(M6:AB6)</f>
        <v/>
      </c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</row>
    <row r="7" ht="21" customFormat="1" customHeight="1" s="116">
      <c r="A7" s="83" t="inlineStr">
        <is>
          <t>FRANCA</t>
        </is>
      </c>
      <c r="B7" s="117" t="inlineStr">
        <is>
          <t>CHAPA_14</t>
        </is>
      </c>
      <c r="C7" s="118">
        <f>AC7</f>
        <v/>
      </c>
      <c r="D7" s="118">
        <f>C7*0.1818</f>
        <v/>
      </c>
      <c r="E7" s="118">
        <f>SUM(C7:D7)</f>
        <v/>
      </c>
      <c r="F7" s="118">
        <f>E7*0.1111</f>
        <v/>
      </c>
      <c r="G7" s="118">
        <f>E7*0.083</f>
        <v/>
      </c>
      <c r="H7" s="118">
        <f>SUM(E7:G7)*0.08</f>
        <v/>
      </c>
      <c r="I7" s="118">
        <f>IF(E7&lt;=$F$67,E7*$G$67,IF(E7&lt;=$F$68,E7*$G$68,IF(E7&lt;=$F$69,E7*$G$69,513.0125)))</f>
        <v/>
      </c>
      <c r="J7" s="22" t="n"/>
      <c r="K7" s="119" t="n"/>
      <c r="L7" s="114" t="n"/>
      <c r="M7" s="32" t="n">
        <v>51.26</v>
      </c>
      <c r="N7" s="32" t="n">
        <v>0</v>
      </c>
      <c r="O7" s="32" t="n">
        <v>112.76</v>
      </c>
      <c r="P7" s="32" t="n">
        <v>112.76</v>
      </c>
      <c r="Q7" s="32" t="n">
        <v>131.98</v>
      </c>
      <c r="R7" s="32" t="n">
        <v>112.76</v>
      </c>
      <c r="S7" s="32" t="n">
        <v>131.98</v>
      </c>
      <c r="T7" s="32" t="n">
        <v>51.25</v>
      </c>
      <c r="U7" s="32" t="n">
        <v>0</v>
      </c>
      <c r="V7" s="32" t="n">
        <v>112.76</v>
      </c>
      <c r="W7" s="32" t="n">
        <v>137.5</v>
      </c>
      <c r="X7" s="32" t="n">
        <v>126.49</v>
      </c>
      <c r="Y7" s="32" t="n">
        <v>113.59</v>
      </c>
      <c r="Z7" s="32" t="n">
        <v>112.76</v>
      </c>
      <c r="AA7" s="32" t="n">
        <v>51.26</v>
      </c>
      <c r="AB7" s="32" t="n"/>
      <c r="AC7" s="33">
        <f>SUM(M7:AB7)</f>
        <v/>
      </c>
      <c r="AD7" s="115" t="n"/>
      <c r="AE7" s="115" t="n"/>
      <c r="AF7" s="115" t="n"/>
      <c r="AG7" s="115" t="n"/>
      <c r="AH7" s="115" t="n"/>
      <c r="AI7" s="115" t="n"/>
      <c r="AJ7" s="115" t="n"/>
      <c r="AK7" s="115" t="n"/>
      <c r="AL7" s="115" t="n"/>
      <c r="AM7" s="115" t="n"/>
      <c r="AN7" s="115" t="n"/>
      <c r="AO7" s="115" t="n"/>
    </row>
    <row r="8" ht="21" customFormat="1" customHeight="1" s="116">
      <c r="A8" s="83" t="inlineStr">
        <is>
          <t>FRANCA</t>
        </is>
      </c>
      <c r="B8" s="120" t="inlineStr">
        <is>
          <t>CHAPA_15</t>
        </is>
      </c>
      <c r="C8" s="118">
        <f>AC8</f>
        <v/>
      </c>
      <c r="D8" s="118">
        <f>C8*0.1818</f>
        <v/>
      </c>
      <c r="E8" s="118">
        <f>SUM(C8:D8)</f>
        <v/>
      </c>
      <c r="F8" s="118">
        <f>E8*0.1111</f>
        <v/>
      </c>
      <c r="G8" s="118">
        <f>E8*0.083</f>
        <v/>
      </c>
      <c r="H8" s="118">
        <f>SUM(E8:G8)*0.08</f>
        <v/>
      </c>
      <c r="I8" s="118">
        <f>IF(E8&lt;=$F$67,E8*$G$67,IF(E8&lt;=$F$68,E8*$G$68,IF(E8&lt;=$F$69,E8*$G$69,513.0125)))</f>
        <v/>
      </c>
      <c r="J8" s="22" t="n"/>
      <c r="K8" s="114" t="n"/>
      <c r="L8" s="114" t="n"/>
      <c r="M8" s="32" t="n">
        <v>0</v>
      </c>
      <c r="N8" s="32" t="n">
        <v>0</v>
      </c>
      <c r="O8" s="32" t="n">
        <v>0</v>
      </c>
      <c r="P8" s="32" t="n">
        <v>112.76</v>
      </c>
      <c r="Q8" s="32" t="n">
        <v>112.76</v>
      </c>
      <c r="R8" s="32" t="n">
        <v>112.76</v>
      </c>
      <c r="S8" s="32" t="n">
        <v>112.76</v>
      </c>
      <c r="T8" s="32" t="n">
        <v>51.25</v>
      </c>
      <c r="U8" s="32" t="n">
        <v>0</v>
      </c>
      <c r="V8" s="32" t="n">
        <v>102.51</v>
      </c>
      <c r="W8" s="32" t="n">
        <v>137.51</v>
      </c>
      <c r="X8" s="32" t="n">
        <v>126.49</v>
      </c>
      <c r="Y8" s="32" t="n">
        <v>132.814444</v>
      </c>
      <c r="Z8" s="32" t="n">
        <v>112.76</v>
      </c>
      <c r="AA8" s="32" t="n">
        <v>0</v>
      </c>
      <c r="AB8" s="32" t="n"/>
      <c r="AC8" s="33">
        <f>SUM(M8:AB8)</f>
        <v/>
      </c>
      <c r="AD8" s="115" t="n"/>
      <c r="AE8" s="115" t="n"/>
      <c r="AF8" s="115" t="n"/>
      <c r="AG8" s="115" t="n"/>
      <c r="AH8" s="115" t="n"/>
      <c r="AI8" s="115" t="n"/>
      <c r="AJ8" s="115" t="n"/>
      <c r="AK8" s="115" t="n"/>
      <c r="AL8" s="115" t="n"/>
      <c r="AM8" s="115" t="n"/>
      <c r="AN8" s="115" t="n"/>
      <c r="AO8" s="115" t="n"/>
    </row>
    <row r="9" ht="21" customFormat="1" customHeight="1" s="116">
      <c r="A9" s="83" t="inlineStr">
        <is>
          <t>FRANCA</t>
        </is>
      </c>
      <c r="B9" s="121" t="inlineStr">
        <is>
          <t>CHAPA_17</t>
        </is>
      </c>
      <c r="C9" s="118">
        <f>AC9</f>
        <v/>
      </c>
      <c r="D9" s="118">
        <f>C9*0.1818</f>
        <v/>
      </c>
      <c r="E9" s="118">
        <f>SUM(C9:D9)</f>
        <v/>
      </c>
      <c r="F9" s="118">
        <f>E9*0.1111</f>
        <v/>
      </c>
      <c r="G9" s="118">
        <f>E9*0.083</f>
        <v/>
      </c>
      <c r="H9" s="118">
        <f>SUM(E9:G9)*0.08</f>
        <v/>
      </c>
      <c r="I9" s="118">
        <f>IF(E9&lt;=$F$67,E9*$G$67,IF(E9&lt;=$F$68,E9*$G$68,IF(E9&lt;=$F$69,E9*$G$69,513.0125)))</f>
        <v/>
      </c>
      <c r="J9" s="22" t="n"/>
      <c r="K9" s="114" t="n"/>
      <c r="L9" s="114" t="n"/>
      <c r="M9" s="32" t="n">
        <v>0</v>
      </c>
      <c r="N9" s="32" t="n">
        <v>0</v>
      </c>
      <c r="O9" s="32" t="n">
        <v>51.255</v>
      </c>
      <c r="P9" s="32" t="n">
        <v>112.76</v>
      </c>
      <c r="Q9" s="32" t="n">
        <v>51.255</v>
      </c>
      <c r="R9" s="32" t="n">
        <v>112.76</v>
      </c>
      <c r="S9" s="32" t="n">
        <v>112.76</v>
      </c>
      <c r="T9" s="32" t="n">
        <v>0</v>
      </c>
      <c r="U9" s="32" t="n">
        <v>0</v>
      </c>
      <c r="V9" s="32" t="n">
        <v>51.26</v>
      </c>
      <c r="W9" s="32" t="n">
        <v>0</v>
      </c>
      <c r="X9" s="32" t="n">
        <v>126.5</v>
      </c>
      <c r="Y9" s="32" t="n">
        <v>113.59</v>
      </c>
      <c r="Z9" s="32" t="n">
        <v>112.76</v>
      </c>
      <c r="AA9" s="32" t="n">
        <v>51.26</v>
      </c>
      <c r="AB9" s="32" t="n"/>
      <c r="AC9" s="33">
        <f>SUM(M9:AB9)</f>
        <v/>
      </c>
      <c r="AD9" s="115" t="n"/>
      <c r="AE9" s="115" t="n"/>
      <c r="AF9" s="115" t="n"/>
      <c r="AG9" s="115" t="n"/>
      <c r="AH9" s="115" t="n"/>
      <c r="AI9" s="115" t="n"/>
      <c r="AJ9" s="115" t="n"/>
      <c r="AK9" s="115" t="n"/>
      <c r="AL9" s="115" t="n"/>
      <c r="AM9" s="115" t="n"/>
      <c r="AN9" s="115" t="n"/>
      <c r="AO9" s="115" t="n"/>
    </row>
    <row r="10" ht="21" customFormat="1" customHeight="1" s="116">
      <c r="A10" s="83" t="inlineStr">
        <is>
          <t>FRANCA</t>
        </is>
      </c>
      <c r="B10" s="122" t="inlineStr">
        <is>
          <t>CHAPA_26</t>
        </is>
      </c>
      <c r="C10" s="118">
        <f>AC10</f>
        <v/>
      </c>
      <c r="D10" s="118">
        <f>C10*0.1818</f>
        <v/>
      </c>
      <c r="E10" s="118">
        <f>SUM(C10:D10)</f>
        <v/>
      </c>
      <c r="F10" s="118">
        <f>E10*0.1111</f>
        <v/>
      </c>
      <c r="G10" s="118">
        <f>E10*0.083</f>
        <v/>
      </c>
      <c r="H10" s="118">
        <f>SUM(E10:G10)*0.08</f>
        <v/>
      </c>
      <c r="I10" s="118">
        <f>IF(E10&lt;=$F$67,E10*$G$67,IF(E10&lt;=$F$68,E10*$G$68,IF(E10&lt;=$F$69,E10*$G$69,513.0125)))</f>
        <v/>
      </c>
      <c r="J10" s="22" t="n"/>
      <c r="K10" s="114" t="n"/>
      <c r="L10" s="114" t="n"/>
      <c r="M10" s="32" t="n">
        <v>0</v>
      </c>
      <c r="N10" s="32" t="n">
        <v>0</v>
      </c>
      <c r="O10" s="32" t="n">
        <v>112.76</v>
      </c>
      <c r="P10" s="32" t="n">
        <v>112.76</v>
      </c>
      <c r="Q10" s="32" t="n">
        <v>112.76</v>
      </c>
      <c r="R10" s="32" t="n">
        <v>112.76</v>
      </c>
      <c r="S10" s="32" t="n">
        <v>112.76</v>
      </c>
      <c r="T10" s="32" t="n">
        <v>0</v>
      </c>
      <c r="U10" s="32" t="n">
        <v>0</v>
      </c>
      <c r="V10" s="32" t="n">
        <v>112.76</v>
      </c>
      <c r="W10" s="32" t="n">
        <v>137.51</v>
      </c>
      <c r="X10" s="32" t="n">
        <v>126.5</v>
      </c>
      <c r="Y10" s="32" t="n">
        <v>113.59</v>
      </c>
      <c r="Z10" s="32" t="n">
        <v>112.76</v>
      </c>
      <c r="AA10" s="32" t="n">
        <v>51.26</v>
      </c>
      <c r="AB10" s="88" t="n"/>
      <c r="AC10" s="33">
        <f>SUM(M10:AB10)</f>
        <v/>
      </c>
      <c r="AD10" s="115" t="n"/>
      <c r="AE10" s="115" t="n"/>
      <c r="AF10" s="115" t="n"/>
      <c r="AG10" s="115" t="n"/>
      <c r="AH10" s="115" t="n"/>
      <c r="AI10" s="115" t="n"/>
      <c r="AJ10" s="115" t="n"/>
      <c r="AK10" s="115" t="n"/>
      <c r="AL10" s="115" t="n"/>
      <c r="AM10" s="115" t="n"/>
      <c r="AN10" s="115" t="n"/>
      <c r="AO10" s="115" t="n"/>
    </row>
    <row r="11" ht="21" customFormat="1" customHeight="1" s="116">
      <c r="A11" s="83" t="inlineStr">
        <is>
          <t>FRANCA</t>
        </is>
      </c>
      <c r="B11" s="120" t="inlineStr">
        <is>
          <t>CHAPA_38</t>
        </is>
      </c>
      <c r="C11" s="118">
        <f>AC11</f>
        <v/>
      </c>
      <c r="D11" s="118">
        <f>C11*0.1818</f>
        <v/>
      </c>
      <c r="E11" s="118">
        <f>SUM(C11:D11)</f>
        <v/>
      </c>
      <c r="F11" s="118">
        <f>E11*0.1111</f>
        <v/>
      </c>
      <c r="G11" s="118">
        <f>E11*0.083</f>
        <v/>
      </c>
      <c r="H11" s="118">
        <f>SUM(E11:G11)*0.08</f>
        <v/>
      </c>
      <c r="I11" s="118">
        <f>IF(E11&lt;=$F$67,E11*$G$67,IF(E11&lt;=$F$68,E11*$G$68,IF(E11&lt;=$F$69,E11*$G$69,513.0125)))</f>
        <v/>
      </c>
      <c r="J11" s="22" t="n"/>
      <c r="K11" s="114" t="n"/>
      <c r="L11" s="114" t="n"/>
      <c r="M11" s="32" t="n">
        <v>51.25</v>
      </c>
      <c r="N11" s="32" t="n">
        <v>0</v>
      </c>
      <c r="O11" s="32" t="n">
        <v>112.76</v>
      </c>
      <c r="P11" s="32" t="n">
        <v>112.76</v>
      </c>
      <c r="Q11" s="32" t="n">
        <v>112.76</v>
      </c>
      <c r="R11" s="32" t="n">
        <v>112.76</v>
      </c>
      <c r="S11" s="32" t="n">
        <v>112.76</v>
      </c>
      <c r="T11" s="32" t="n">
        <v>51.26</v>
      </c>
      <c r="U11" s="32" t="n">
        <v>0</v>
      </c>
      <c r="V11" s="32" t="n">
        <v>112.76</v>
      </c>
      <c r="W11" s="32" t="n">
        <v>147.12</v>
      </c>
      <c r="X11" s="32" t="n">
        <v>126.5</v>
      </c>
      <c r="Y11" s="32" t="n">
        <v>132.81444</v>
      </c>
      <c r="Z11" s="32" t="n">
        <v>112.76</v>
      </c>
      <c r="AA11" s="32" t="n">
        <v>0</v>
      </c>
      <c r="AB11" s="32" t="n"/>
      <c r="AC11" s="33">
        <f>SUM(M11:AB11)</f>
        <v/>
      </c>
      <c r="AD11" s="115" t="n"/>
      <c r="AE11" s="115" t="n"/>
      <c r="AF11" s="115" t="n"/>
      <c r="AG11" s="115" t="n"/>
      <c r="AH11" s="115" t="n"/>
      <c r="AI11" s="115" t="n"/>
      <c r="AJ11" s="115" t="n"/>
      <c r="AK11" s="115" t="n"/>
      <c r="AL11" s="115" t="n"/>
      <c r="AM11" s="115" t="n"/>
      <c r="AN11" s="115" t="n"/>
      <c r="AO11" s="115" t="n"/>
    </row>
    <row r="12" ht="21" customFormat="1" customHeight="1" s="116">
      <c r="A12" s="83" t="inlineStr">
        <is>
          <t>FRANCA</t>
        </is>
      </c>
      <c r="B12" s="120" t="inlineStr">
        <is>
          <t>CHAPA_41</t>
        </is>
      </c>
      <c r="C12" s="118">
        <f>AC12</f>
        <v/>
      </c>
      <c r="D12" s="118">
        <f>C12*0.1818</f>
        <v/>
      </c>
      <c r="E12" s="118">
        <f>SUM(C12:D12)</f>
        <v/>
      </c>
      <c r="F12" s="118">
        <f>E12*0.1111</f>
        <v/>
      </c>
      <c r="G12" s="118">
        <f>E12*0.083</f>
        <v/>
      </c>
      <c r="H12" s="118">
        <f>SUM(E12:G12)*0.08</f>
        <v/>
      </c>
      <c r="I12" s="118">
        <f>IF(E12&lt;=$F$67,E12*$G$67,IF(E12&lt;=$F$68,E12*$G$68,IF(E12&lt;=$F$69,E12*$G$69,513.0125)))</f>
        <v/>
      </c>
      <c r="J12" s="22" t="n"/>
      <c r="K12" s="114" t="n"/>
      <c r="L12" s="114" t="n"/>
      <c r="M12" s="32" t="n">
        <v>0</v>
      </c>
      <c r="N12" s="32" t="n">
        <v>0</v>
      </c>
      <c r="O12" s="32" t="n">
        <v>112.76</v>
      </c>
      <c r="P12" s="32" t="n">
        <v>112.76</v>
      </c>
      <c r="Q12" s="32" t="n">
        <v>112.76</v>
      </c>
      <c r="R12" s="32" t="n">
        <v>112.76</v>
      </c>
      <c r="S12" s="32" t="n">
        <v>112.76</v>
      </c>
      <c r="T12" s="32" t="n">
        <v>51.26</v>
      </c>
      <c r="U12" s="32" t="n">
        <v>0</v>
      </c>
      <c r="V12" s="32" t="n">
        <v>112.76</v>
      </c>
      <c r="W12" s="32" t="n">
        <v>137.51</v>
      </c>
      <c r="X12" s="32" t="n">
        <v>126.5</v>
      </c>
      <c r="Y12" s="32" t="n">
        <v>113.6</v>
      </c>
      <c r="Z12" s="32" t="n">
        <v>112.76</v>
      </c>
      <c r="AA12" s="32" t="n">
        <v>51.25</v>
      </c>
      <c r="AB12" s="32" t="n"/>
      <c r="AC12" s="33">
        <f>SUM(M12:AB12)</f>
        <v/>
      </c>
      <c r="AD12" s="115" t="n"/>
      <c r="AE12" s="115" t="n"/>
      <c r="AF12" s="115" t="n"/>
      <c r="AG12" s="115" t="n"/>
      <c r="AH12" s="115" t="n"/>
      <c r="AI12" s="115" t="n"/>
      <c r="AJ12" s="115" t="n"/>
      <c r="AK12" s="115" t="n"/>
      <c r="AL12" s="115" t="n"/>
      <c r="AM12" s="115" t="n"/>
      <c r="AN12" s="115" t="n"/>
      <c r="AO12" s="115" t="n"/>
    </row>
    <row r="13" ht="21" customFormat="1" customHeight="1" s="116">
      <c r="A13" s="83" t="inlineStr">
        <is>
          <t>FRANCA</t>
        </is>
      </c>
      <c r="B13" s="120" t="inlineStr">
        <is>
          <t>CHAPA_43</t>
        </is>
      </c>
      <c r="C13" s="118">
        <f>AC13</f>
        <v/>
      </c>
      <c r="D13" s="118">
        <f>C13*0.1818</f>
        <v/>
      </c>
      <c r="E13" s="118">
        <f>SUM(C13:D13)</f>
        <v/>
      </c>
      <c r="F13" s="118">
        <f>E13*0.1111</f>
        <v/>
      </c>
      <c r="G13" s="118">
        <f>E13*0.083</f>
        <v/>
      </c>
      <c r="H13" s="118">
        <f>SUM(E13:G13)*0.08</f>
        <v/>
      </c>
      <c r="I13" s="118">
        <f>IF(E13&lt;=$F$67,E13*$G$67,IF(E13&lt;=$F$68,E13*$G$68,IF(E13&lt;=$F$69,E13*$G$69,513.0125)))</f>
        <v/>
      </c>
      <c r="J13" s="22" t="n"/>
      <c r="K13" s="114" t="n"/>
      <c r="L13" s="114" t="n"/>
      <c r="M13" s="32" t="n">
        <v>51.25</v>
      </c>
      <c r="N13" s="32" t="n">
        <v>0</v>
      </c>
      <c r="O13" s="32" t="n">
        <v>112.76</v>
      </c>
      <c r="P13" s="32" t="n">
        <v>51.255</v>
      </c>
      <c r="Q13" s="32" t="n">
        <v>51.255</v>
      </c>
      <c r="R13" s="32" t="n">
        <v>112.76</v>
      </c>
      <c r="S13" s="32" t="n">
        <v>112.76</v>
      </c>
      <c r="T13" s="32" t="n">
        <v>0</v>
      </c>
      <c r="U13" s="32" t="n">
        <v>0</v>
      </c>
      <c r="V13" s="32" t="n">
        <v>112.76</v>
      </c>
      <c r="W13" s="32" t="n">
        <v>137.51</v>
      </c>
      <c r="X13" s="32" t="n">
        <v>126.5</v>
      </c>
      <c r="Y13" s="32" t="n">
        <v>113.6</v>
      </c>
      <c r="Z13" s="32" t="n">
        <v>112.76</v>
      </c>
      <c r="AA13" s="32" t="n">
        <v>51.25</v>
      </c>
      <c r="AB13" s="32" t="n"/>
      <c r="AC13" s="33">
        <f>SUM(M13:AB13)</f>
        <v/>
      </c>
      <c r="AD13" s="115" t="n"/>
      <c r="AE13" s="115" t="n"/>
      <c r="AF13" s="115" t="n"/>
      <c r="AG13" s="115" t="n"/>
      <c r="AH13" s="115" t="n"/>
      <c r="AI13" s="115" t="n"/>
      <c r="AJ13" s="115" t="n"/>
      <c r="AK13" s="115" t="n"/>
      <c r="AL13" s="115" t="n"/>
      <c r="AM13" s="115" t="n"/>
      <c r="AN13" s="115" t="n"/>
      <c r="AO13" s="115" t="n"/>
    </row>
    <row r="14" ht="21" customFormat="1" customHeight="1" s="116">
      <c r="A14" s="83" t="inlineStr">
        <is>
          <t>FRANCA</t>
        </is>
      </c>
      <c r="B14" s="117" t="inlineStr">
        <is>
          <t>CHAPA_46</t>
        </is>
      </c>
      <c r="C14" s="118">
        <f>AC14</f>
        <v/>
      </c>
      <c r="D14" s="118">
        <f>C14*0.1818</f>
        <v/>
      </c>
      <c r="E14" s="118">
        <f>SUM(C14:D14)</f>
        <v/>
      </c>
      <c r="F14" s="118">
        <f>E14*0.1111</f>
        <v/>
      </c>
      <c r="G14" s="118">
        <f>E14*0.083</f>
        <v/>
      </c>
      <c r="H14" s="118">
        <f>SUM(E14:G14)*0.08</f>
        <v/>
      </c>
      <c r="I14" s="118">
        <f>IF(E14&lt;=$F$67,E14*$G$67,IF(E14&lt;=$F$68,E14*$G$68,IF(E14&lt;=$F$69,E14*$G$69,513.0125)))</f>
        <v/>
      </c>
      <c r="J14" s="22" t="n"/>
      <c r="K14" s="114" t="n"/>
      <c r="L14" s="114" t="n"/>
      <c r="M14" s="32" t="n">
        <v>0</v>
      </c>
      <c r="N14" s="32" t="n">
        <v>0</v>
      </c>
      <c r="O14" s="32" t="n">
        <v>51.255</v>
      </c>
      <c r="P14" s="32" t="n">
        <v>112.76</v>
      </c>
      <c r="Q14" s="32" t="n">
        <v>112.76</v>
      </c>
      <c r="R14" s="32" t="n">
        <v>0</v>
      </c>
      <c r="S14" s="32" t="n">
        <v>112.76</v>
      </c>
      <c r="T14" s="32" t="n">
        <v>51.26</v>
      </c>
      <c r="U14" s="32" t="n">
        <v>0</v>
      </c>
      <c r="V14" s="32" t="n">
        <v>112.76</v>
      </c>
      <c r="W14" s="32" t="n">
        <v>0</v>
      </c>
      <c r="X14" s="32" t="n">
        <v>0</v>
      </c>
      <c r="Y14" s="32" t="n">
        <v>113.6</v>
      </c>
      <c r="Z14" s="32" t="n">
        <v>112.76</v>
      </c>
      <c r="AA14" s="32" t="n">
        <v>51.25</v>
      </c>
      <c r="AB14" s="32" t="n"/>
      <c r="AC14" s="33">
        <f>SUM(M14:AB14)</f>
        <v/>
      </c>
      <c r="AD14" s="115" t="n"/>
      <c r="AE14" s="115" t="n"/>
      <c r="AF14" s="115" t="n"/>
      <c r="AG14" s="115" t="n"/>
      <c r="AH14" s="115" t="n"/>
      <c r="AI14" s="115" t="n"/>
      <c r="AJ14" s="115" t="n"/>
      <c r="AK14" s="115" t="n"/>
      <c r="AL14" s="115" t="n"/>
      <c r="AM14" s="115" t="n"/>
      <c r="AN14" s="115" t="n"/>
      <c r="AO14" s="115" t="n"/>
    </row>
    <row r="15" ht="21" customFormat="1" customHeight="1" s="116">
      <c r="A15" s="83" t="inlineStr">
        <is>
          <t>FRANCA</t>
        </is>
      </c>
      <c r="B15" s="120" t="inlineStr">
        <is>
          <t>CHAPA_03</t>
        </is>
      </c>
      <c r="C15" s="118">
        <f>AC15</f>
        <v/>
      </c>
      <c r="D15" s="118">
        <f>C15*0.1818</f>
        <v/>
      </c>
      <c r="E15" s="118">
        <f>SUM(C15:D15)</f>
        <v/>
      </c>
      <c r="F15" s="118">
        <f>E15*0.1111</f>
        <v/>
      </c>
      <c r="G15" s="118">
        <f>E15*0.083</f>
        <v/>
      </c>
      <c r="H15" s="118">
        <f>SUM(E15:G15)*0.08</f>
        <v/>
      </c>
      <c r="I15" s="118">
        <f>IF(E15&lt;=$F$67,E15*$G$67,IF(E15&lt;=$F$68,E15*$G$68,IF(E15&lt;=$F$69,E15*$G$69,513.0125)))</f>
        <v/>
      </c>
      <c r="J15" s="22" t="n"/>
      <c r="K15" s="114" t="n"/>
      <c r="L15" s="114" t="n"/>
      <c r="M15" s="32" t="n">
        <v>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0</v>
      </c>
      <c r="S15" s="32" t="n">
        <v>312.26</v>
      </c>
      <c r="T15" s="32" t="n">
        <v>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32" t="n">
        <v>0</v>
      </c>
      <c r="AA15" s="32" t="n">
        <v>0</v>
      </c>
      <c r="AB15" s="32" t="n"/>
      <c r="AC15" s="33">
        <f>SUM(M15:AB15)</f>
        <v/>
      </c>
      <c r="AD15" s="115" t="n"/>
      <c r="AE15" s="115" t="n"/>
      <c r="AF15" s="115" t="n"/>
      <c r="AG15" s="115" t="n"/>
      <c r="AH15" s="115" t="n"/>
      <c r="AI15" s="115" t="n"/>
      <c r="AJ15" s="115" t="n"/>
      <c r="AK15" s="115" t="n"/>
      <c r="AL15" s="115" t="n"/>
      <c r="AM15" s="115" t="n"/>
      <c r="AN15" s="115" t="n"/>
      <c r="AO15" s="115" t="n"/>
    </row>
    <row r="16" ht="21" customFormat="1" customHeight="1" s="116">
      <c r="A16" s="83" t="inlineStr">
        <is>
          <t>FRANCA</t>
        </is>
      </c>
      <c r="B16" s="117" t="n"/>
      <c r="C16" s="118">
        <f>AC16</f>
        <v/>
      </c>
      <c r="D16" s="118">
        <f>C16*0.1818</f>
        <v/>
      </c>
      <c r="E16" s="118">
        <f>SUM(C16:D16)</f>
        <v/>
      </c>
      <c r="F16" s="118">
        <f>E16*0.1111</f>
        <v/>
      </c>
      <c r="G16" s="118">
        <f>E16*0.083</f>
        <v/>
      </c>
      <c r="H16" s="118">
        <f>SUM(E16:G16)*0.08</f>
        <v/>
      </c>
      <c r="I16" s="118">
        <f>IF(E16&lt;=$F$67,E16*$G$67,IF(E16&lt;=$F$68,E16*$G$68,IF(E16&lt;=$F$69,E16*$G$69,513.0125)))</f>
        <v/>
      </c>
      <c r="J16" s="22" t="n"/>
      <c r="K16" s="114" t="n"/>
      <c r="L16" s="114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3">
        <f>SUM(M16:AB16)</f>
        <v/>
      </c>
      <c r="AD16" s="115" t="n"/>
      <c r="AE16" s="115" t="n"/>
      <c r="AF16" s="115" t="n"/>
      <c r="AG16" s="115" t="n"/>
      <c r="AH16" s="115" t="n"/>
      <c r="AI16" s="115" t="n"/>
      <c r="AJ16" s="115" t="n"/>
      <c r="AK16" s="115" t="n"/>
      <c r="AL16" s="115" t="n"/>
      <c r="AM16" s="115" t="n"/>
      <c r="AN16" s="115" t="n"/>
      <c r="AO16" s="115" t="n"/>
    </row>
    <row r="17" ht="21" customFormat="1" customHeight="1" s="116">
      <c r="A17" s="83" t="inlineStr">
        <is>
          <t>FRANCA</t>
        </is>
      </c>
      <c r="B17" s="123" t="n"/>
      <c r="C17" s="118">
        <f>AC17</f>
        <v/>
      </c>
      <c r="D17" s="118">
        <f>C17*0.1818</f>
        <v/>
      </c>
      <c r="E17" s="118">
        <f>SUM(C17:D17)</f>
        <v/>
      </c>
      <c r="F17" s="118">
        <f>E17*0.1111</f>
        <v/>
      </c>
      <c r="G17" s="118">
        <f>E17*0.083</f>
        <v/>
      </c>
      <c r="H17" s="118">
        <f>SUM(E17:G17)*0.08</f>
        <v/>
      </c>
      <c r="I17" s="118">
        <f>IF(E17&lt;=$F$67,E17*$G$67,IF(E17&lt;=$F$68,E17*$G$68,IF(E17&lt;=$F$69,E17*$G$69,513.0125)))</f>
        <v/>
      </c>
      <c r="J17" s="22" t="n"/>
      <c r="K17" s="114" t="n"/>
      <c r="L17" s="114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3">
        <f>SUM(M17:AB17)</f>
        <v/>
      </c>
      <c r="AD17" s="115" t="n"/>
      <c r="AE17" s="115" t="n"/>
      <c r="AF17" s="115" t="n"/>
      <c r="AG17" s="115" t="n"/>
      <c r="AH17" s="115" t="n"/>
      <c r="AI17" s="115" t="n"/>
      <c r="AJ17" s="115" t="n"/>
      <c r="AK17" s="115" t="n"/>
      <c r="AL17" s="115" t="n"/>
      <c r="AM17" s="115" t="n"/>
      <c r="AN17" s="115" t="n"/>
      <c r="AO17" s="115" t="n"/>
    </row>
    <row r="18" ht="21" customFormat="1" customHeight="1" s="116">
      <c r="A18" s="83" t="inlineStr">
        <is>
          <t>FRANCA</t>
        </is>
      </c>
      <c r="B18" s="123" t="n"/>
      <c r="C18" s="118">
        <f>AC18</f>
        <v/>
      </c>
      <c r="D18" s="118">
        <f>C18*0.1818</f>
        <v/>
      </c>
      <c r="E18" s="118">
        <f>SUM(C18:D18)</f>
        <v/>
      </c>
      <c r="F18" s="118">
        <f>E18*0.1111</f>
        <v/>
      </c>
      <c r="G18" s="118">
        <f>E18*0.083</f>
        <v/>
      </c>
      <c r="H18" s="118">
        <f>SUM(E18:G18)*0.08</f>
        <v/>
      </c>
      <c r="I18" s="118">
        <f>IF(E18&lt;=$F$67,E18*$G$67,IF(E18&lt;=$F$68,E18*$G$68,IF(E18&lt;=$F$69,E18*$G$69,513.0125)))</f>
        <v/>
      </c>
      <c r="J18" s="22" t="n"/>
      <c r="K18" s="114" t="n"/>
      <c r="L18" s="114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3">
        <f>SUM(M18:AB18)</f>
        <v/>
      </c>
      <c r="AD18" s="115" t="n"/>
      <c r="AE18" s="115" t="n"/>
      <c r="AF18" s="115" t="n"/>
      <c r="AG18" s="115" t="n"/>
      <c r="AH18" s="115" t="n"/>
      <c r="AI18" s="115" t="n"/>
      <c r="AJ18" s="115" t="n"/>
      <c r="AK18" s="115" t="n"/>
      <c r="AL18" s="115" t="n"/>
      <c r="AM18" s="115" t="n"/>
      <c r="AN18" s="115" t="n"/>
      <c r="AO18" s="115" t="n"/>
    </row>
    <row r="19" ht="21" customFormat="1" customHeight="1" s="116">
      <c r="A19" s="83" t="inlineStr">
        <is>
          <t>FRANCA</t>
        </is>
      </c>
      <c r="B19" s="120" t="n"/>
      <c r="C19" s="118">
        <f>AC19</f>
        <v/>
      </c>
      <c r="D19" s="118">
        <f>C19*0.1818</f>
        <v/>
      </c>
      <c r="E19" s="118">
        <f>SUM(C19:D19)</f>
        <v/>
      </c>
      <c r="F19" s="118">
        <f>E19*0.1111</f>
        <v/>
      </c>
      <c r="G19" s="118">
        <f>E19*0.083</f>
        <v/>
      </c>
      <c r="H19" s="118">
        <f>SUM(E19:G19)*0.08</f>
        <v/>
      </c>
      <c r="I19" s="118">
        <f>IF(E19&lt;=$F$67,E19*$G$67,IF(E19&lt;=$F$68,E19*$G$68,IF(E19&lt;=$F$69,E19*$G$69,513.0125)))</f>
        <v/>
      </c>
      <c r="J19" s="22" t="n"/>
      <c r="K19" s="114" t="n"/>
      <c r="L19" s="114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3">
        <f>SUM(M19:AB19)</f>
        <v/>
      </c>
      <c r="AD19" s="115" t="n"/>
      <c r="AE19" s="115" t="n"/>
      <c r="AF19" s="115" t="n"/>
      <c r="AG19" s="115" t="n"/>
      <c r="AH19" s="115" t="n"/>
      <c r="AI19" s="115" t="n"/>
      <c r="AJ19" s="115" t="n"/>
      <c r="AK19" s="115" t="n"/>
      <c r="AL19" s="115" t="n"/>
      <c r="AM19" s="115" t="n"/>
      <c r="AN19" s="115" t="n"/>
      <c r="AO19" s="115" t="n"/>
    </row>
    <row r="20" ht="21" customFormat="1" customHeight="1" s="116">
      <c r="A20" s="83" t="inlineStr">
        <is>
          <t>FRANCA</t>
        </is>
      </c>
      <c r="B20" s="120" t="n"/>
      <c r="C20" s="118">
        <f>AC20</f>
        <v/>
      </c>
      <c r="D20" s="118">
        <f>C20*0.1818</f>
        <v/>
      </c>
      <c r="E20" s="118">
        <f>SUM(C20:D20)</f>
        <v/>
      </c>
      <c r="F20" s="118">
        <f>E20*0.1111</f>
        <v/>
      </c>
      <c r="G20" s="118">
        <f>E20*0.083</f>
        <v/>
      </c>
      <c r="H20" s="118">
        <f>SUM(E20:G20)*0.08</f>
        <v/>
      </c>
      <c r="I20" s="118">
        <f>IF(E20&lt;=$F$67,E20*$G$67,IF(E20&lt;=$F$68,E20*$G$68,IF(E20&lt;=$F$69,E20*$G$69,513.0125)))</f>
        <v/>
      </c>
      <c r="J20" s="22" t="n"/>
      <c r="K20" s="114" t="n"/>
      <c r="L20" s="114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3">
        <f>SUM(M20:AB20)</f>
        <v/>
      </c>
      <c r="AD20" s="115" t="n"/>
      <c r="AE20" s="115" t="n"/>
      <c r="AF20" s="115" t="n"/>
      <c r="AG20" s="115" t="n"/>
      <c r="AH20" s="115" t="n"/>
      <c r="AI20" s="115" t="n"/>
      <c r="AJ20" s="115" t="n"/>
      <c r="AK20" s="115" t="n"/>
      <c r="AL20" s="115" t="n"/>
      <c r="AM20" s="115" t="n"/>
      <c r="AN20" s="115" t="n"/>
      <c r="AO20" s="115" t="n"/>
    </row>
    <row r="21" ht="21" customFormat="1" customHeight="1" s="116">
      <c r="A21" s="83" t="inlineStr">
        <is>
          <t>FRANCA</t>
        </is>
      </c>
      <c r="B21" s="122" t="n"/>
      <c r="C21" s="118">
        <f>AC21</f>
        <v/>
      </c>
      <c r="D21" s="118">
        <f>C21*0.1818</f>
        <v/>
      </c>
      <c r="E21" s="118">
        <f>SUM(C21:D21)</f>
        <v/>
      </c>
      <c r="F21" s="118">
        <f>E21*0.1111</f>
        <v/>
      </c>
      <c r="G21" s="118">
        <f>E21*0.083</f>
        <v/>
      </c>
      <c r="H21" s="118">
        <f>SUM(E21:G21)*0.08</f>
        <v/>
      </c>
      <c r="I21" s="118">
        <f>IF(E21&lt;=$F$67,E21*$G$67,IF(E21&lt;=$F$68,E21*$G$68,IF(E21&lt;=$F$69,E21*$G$69,513.0125)))</f>
        <v/>
      </c>
      <c r="J21" s="22" t="n"/>
      <c r="K21" s="114" t="n"/>
      <c r="L21" s="114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3">
        <f>SUM(M21:AB21)</f>
        <v/>
      </c>
      <c r="AD21" s="115" t="n"/>
      <c r="AE21" s="115" t="n"/>
      <c r="AF21" s="115" t="n"/>
      <c r="AG21" s="115" t="n"/>
      <c r="AH21" s="115" t="n"/>
      <c r="AI21" s="115" t="n"/>
      <c r="AJ21" s="115" t="n"/>
      <c r="AK21" s="115" t="n"/>
      <c r="AL21" s="115" t="n"/>
      <c r="AM21" s="115" t="n"/>
      <c r="AN21" s="115" t="n"/>
      <c r="AO21" s="115" t="n"/>
    </row>
    <row r="22" ht="21" customFormat="1" customHeight="1" s="116">
      <c r="A22" s="83" t="inlineStr">
        <is>
          <t>FRANCA</t>
        </is>
      </c>
      <c r="B22" s="122" t="n"/>
      <c r="C22" s="118">
        <f>AC22</f>
        <v/>
      </c>
      <c r="D22" s="118">
        <f>C22*0.1818</f>
        <v/>
      </c>
      <c r="E22" s="118">
        <f>SUM(C22:D22)</f>
        <v/>
      </c>
      <c r="F22" s="118">
        <f>E22*0.1111</f>
        <v/>
      </c>
      <c r="G22" s="118">
        <f>E22*0.083</f>
        <v/>
      </c>
      <c r="H22" s="118">
        <f>SUM(E22:G22)*0.08</f>
        <v/>
      </c>
      <c r="I22" s="118">
        <f>IF(E22&lt;=$F$67,E22*$G$67,IF(E22&lt;=$F$68,E22*$G$68,IF(E22&lt;=$F$69,E22*$G$69,513.0125)))</f>
        <v/>
      </c>
      <c r="J22" s="22" t="n"/>
      <c r="K22" s="114" t="n"/>
      <c r="L22" s="114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3">
        <f>SUM(M22:AB22)</f>
        <v/>
      </c>
      <c r="AD22" s="115" t="n"/>
      <c r="AE22" s="115" t="n"/>
      <c r="AF22" s="115" t="n"/>
      <c r="AG22" s="115" t="n"/>
      <c r="AH22" s="115" t="n"/>
      <c r="AI22" s="115" t="n"/>
      <c r="AJ22" s="115" t="n"/>
      <c r="AK22" s="115" t="n"/>
      <c r="AL22" s="115" t="n"/>
      <c r="AM22" s="115" t="n"/>
      <c r="AN22" s="115" t="n"/>
      <c r="AO22" s="115" t="n"/>
    </row>
    <row r="23" ht="21" customFormat="1" customHeight="1" s="116">
      <c r="A23" s="83" t="inlineStr">
        <is>
          <t>FRANCA</t>
        </is>
      </c>
      <c r="B23" s="122" t="n"/>
      <c r="C23" s="118">
        <f>AC23</f>
        <v/>
      </c>
      <c r="D23" s="118">
        <f>C23*0.1818</f>
        <v/>
      </c>
      <c r="E23" s="118">
        <f>SUM(C23:D23)</f>
        <v/>
      </c>
      <c r="F23" s="118">
        <f>E23*0.1111</f>
        <v/>
      </c>
      <c r="G23" s="118">
        <f>E23*0.083</f>
        <v/>
      </c>
      <c r="H23" s="118">
        <f>SUM(E23:G23)*0.08</f>
        <v/>
      </c>
      <c r="I23" s="118">
        <f>IF(E23&lt;=$F$67,E23*$G$67,IF(E23&lt;=$F$68,E23*$G$68,IF(E23&lt;=$F$69,E23*$G$69,513.0125)))</f>
        <v/>
      </c>
      <c r="J23" s="22" t="n"/>
      <c r="K23" s="114" t="n"/>
      <c r="L23" s="114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3">
        <f>SUM(M23:AB23)</f>
        <v/>
      </c>
      <c r="AD23" s="115" t="n"/>
      <c r="AE23" s="115" t="n"/>
      <c r="AF23" s="115" t="n"/>
      <c r="AG23" s="115" t="n"/>
      <c r="AH23" s="115" t="n"/>
      <c r="AI23" s="115" t="n"/>
      <c r="AJ23" s="115" t="n"/>
      <c r="AK23" s="115" t="n"/>
      <c r="AL23" s="115" t="n"/>
      <c r="AM23" s="115" t="n"/>
      <c r="AN23" s="115" t="n"/>
      <c r="AO23" s="115" t="n"/>
    </row>
    <row r="24" ht="21" customFormat="1" customHeight="1" s="116">
      <c r="A24" s="83" t="inlineStr">
        <is>
          <t>FRANCA</t>
        </is>
      </c>
      <c r="B24" s="124" t="n"/>
      <c r="C24" s="118">
        <f>AC24</f>
        <v/>
      </c>
      <c r="D24" s="118">
        <f>C24*0.1818</f>
        <v/>
      </c>
      <c r="E24" s="118">
        <f>SUM(C24:D24)</f>
        <v/>
      </c>
      <c r="F24" s="118">
        <f>E24*0.1111</f>
        <v/>
      </c>
      <c r="G24" s="118">
        <f>E24*0.083</f>
        <v/>
      </c>
      <c r="H24" s="118">
        <f>SUM(E24:G24)*0.08</f>
        <v/>
      </c>
      <c r="I24" s="118">
        <f>IF(E24&lt;=$F$67,E24*$G$67,IF(E24&lt;=$F$68,E24*$G$68,IF(E24&lt;=$F$69,E24*$G$69,513.0125)))</f>
        <v/>
      </c>
      <c r="J24" s="22" t="n"/>
      <c r="K24" s="114" t="n"/>
      <c r="L24" s="114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3">
        <f>SUM(M24:AB24)</f>
        <v/>
      </c>
      <c r="AD24" s="115" t="n"/>
      <c r="AE24" s="115" t="n"/>
      <c r="AF24" s="115" t="n"/>
      <c r="AG24" s="115" t="n"/>
      <c r="AH24" s="115" t="n"/>
      <c r="AI24" s="115" t="n"/>
      <c r="AJ24" s="115" t="n"/>
      <c r="AK24" s="115" t="n"/>
      <c r="AL24" s="115" t="n"/>
      <c r="AM24" s="115" t="n"/>
      <c r="AN24" s="115" t="n"/>
      <c r="AO24" s="115" t="n"/>
    </row>
    <row r="25" ht="21" customFormat="1" customHeight="1" s="116">
      <c r="A25" s="83" t="inlineStr">
        <is>
          <t>FRANCA</t>
        </is>
      </c>
      <c r="B25" s="122" t="n"/>
      <c r="C25" s="118">
        <f>AC25</f>
        <v/>
      </c>
      <c r="D25" s="118">
        <f>C25*0.1818</f>
        <v/>
      </c>
      <c r="E25" s="118">
        <f>SUM(C25:D25)</f>
        <v/>
      </c>
      <c r="F25" s="118">
        <f>E25*0.1111</f>
        <v/>
      </c>
      <c r="G25" s="118">
        <f>E25*0.083</f>
        <v/>
      </c>
      <c r="H25" s="118">
        <f>SUM(E25:G25)*0.08</f>
        <v/>
      </c>
      <c r="I25" s="118">
        <f>IF(E25&lt;=$F$67,E25*$G$67,IF(E25&lt;=$F$68,E25*$G$68,IF(E25&lt;=$F$69,E25*$G$69,513.0125)))</f>
        <v/>
      </c>
      <c r="J25" s="22" t="n"/>
      <c r="K25" s="114" t="n"/>
      <c r="L25" s="114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3">
        <f>SUM(M25:AB25)</f>
        <v/>
      </c>
      <c r="AD25" s="115" t="n"/>
      <c r="AE25" s="115" t="n"/>
      <c r="AF25" s="115" t="n"/>
      <c r="AG25" s="115" t="n"/>
      <c r="AH25" s="115" t="n"/>
      <c r="AI25" s="115" t="n"/>
      <c r="AJ25" s="115" t="n"/>
      <c r="AK25" s="115" t="n"/>
      <c r="AL25" s="115" t="n"/>
      <c r="AM25" s="115" t="n"/>
      <c r="AN25" s="115" t="n"/>
      <c r="AO25" s="115" t="n"/>
    </row>
    <row r="26" ht="21" customFormat="1" customHeight="1" s="116">
      <c r="A26" s="83" t="n"/>
      <c r="B26" s="122" t="n"/>
      <c r="C26" s="118">
        <f>AC26</f>
        <v/>
      </c>
      <c r="D26" s="118">
        <f>C26*0.1818</f>
        <v/>
      </c>
      <c r="E26" s="118">
        <f>SUM(C26:D26)</f>
        <v/>
      </c>
      <c r="F26" s="118">
        <f>E26*0.1111</f>
        <v/>
      </c>
      <c r="G26" s="118">
        <f>E26*0.083</f>
        <v/>
      </c>
      <c r="H26" s="118">
        <f>SUM(E26:G26)*0.08</f>
        <v/>
      </c>
      <c r="I26" s="118">
        <f>IF(E26&lt;=$F$67,E26*$G$67,IF(E26&lt;=$F$68,E26*$G$68,IF(E26&lt;=$F$69,E26*$G$69,513.0125)))</f>
        <v/>
      </c>
      <c r="J26" s="22" t="n"/>
      <c r="K26" s="114" t="n"/>
      <c r="L26" s="114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3">
        <f>SUM(M26:AB26)</f>
        <v/>
      </c>
      <c r="AD26" s="115" t="n"/>
      <c r="AE26" s="115" t="n"/>
      <c r="AF26" s="115" t="n"/>
      <c r="AG26" s="115" t="n"/>
      <c r="AH26" s="115" t="n"/>
      <c r="AI26" s="115" t="n"/>
      <c r="AJ26" s="115" t="n"/>
      <c r="AK26" s="115" t="n"/>
      <c r="AL26" s="115" t="n"/>
      <c r="AM26" s="115" t="n"/>
      <c r="AN26" s="115" t="n"/>
      <c r="AO26" s="115" t="n"/>
    </row>
    <row r="27" ht="21" customFormat="1" customHeight="1" s="116" thickBot="1">
      <c r="A27" s="114" t="n"/>
      <c r="B27" s="112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25">
        <f>COUNT(M26:M26)</f>
        <v/>
      </c>
      <c r="N27" s="125">
        <f>COUNT(N26:N26)</f>
        <v/>
      </c>
      <c r="O27" s="125">
        <f>COUNT(O26:O26)</f>
        <v/>
      </c>
      <c r="P27" s="125">
        <f>COUNT(P26:P26)</f>
        <v/>
      </c>
      <c r="Q27" s="125">
        <f>COUNT(Q26:Q26)</f>
        <v/>
      </c>
      <c r="R27" s="125" t="n"/>
      <c r="S27" s="125">
        <f>COUNT(S26:S26)</f>
        <v/>
      </c>
      <c r="T27" s="125">
        <f>COUNT(T26:T26)</f>
        <v/>
      </c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14" t="n"/>
      <c r="AD27" s="115" t="n"/>
      <c r="AE27" s="115" t="n"/>
      <c r="AF27" s="115" t="n"/>
      <c r="AG27" s="115" t="n"/>
      <c r="AH27" s="115" t="n"/>
      <c r="AI27" s="115" t="n"/>
      <c r="AJ27" s="115" t="n"/>
      <c r="AK27" s="115" t="n"/>
      <c r="AL27" s="115" t="n"/>
      <c r="AM27" s="115" t="n"/>
      <c r="AN27" s="115" t="n"/>
      <c r="AO27" s="115" t="n"/>
    </row>
    <row r="28" ht="21" customFormat="1" customHeight="1" s="116">
      <c r="J28" s="114" t="n"/>
      <c r="K28" s="114" t="n"/>
      <c r="L28" s="114" t="n"/>
      <c r="M28" s="165" t="inlineStr">
        <is>
          <t>TOTAL GERAL / BOLETIM ENSACADORES:</t>
        </is>
      </c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  <c r="AA28" s="166" t="n"/>
      <c r="AB28" s="166" t="n"/>
      <c r="AC28" s="167" t="n"/>
      <c r="AD28" s="129" t="inlineStr">
        <is>
          <t>TOTAL:</t>
        </is>
      </c>
      <c r="AE28" s="115" t="n"/>
      <c r="AF28" s="115" t="n"/>
      <c r="AG28" s="115" t="n"/>
      <c r="AH28" s="115" t="n"/>
      <c r="AI28" s="115" t="n"/>
      <c r="AJ28" s="115" t="n"/>
      <c r="AK28" s="115" t="n"/>
      <c r="AL28" s="115" t="n"/>
      <c r="AM28" s="115" t="n"/>
      <c r="AN28" s="115" t="n"/>
      <c r="AO28" s="115" t="n"/>
      <c r="AP28" s="115" t="n"/>
    </row>
    <row r="29" ht="21" customFormat="1" customHeight="1" s="116">
      <c r="J29" s="114" t="n"/>
      <c r="K29" s="114" t="n"/>
      <c r="L29" s="114" t="n"/>
      <c r="M29" s="130">
        <f>SUM(M6:M26)</f>
        <v/>
      </c>
      <c r="N29" s="130">
        <f>SUM(N6:N26)</f>
        <v/>
      </c>
      <c r="O29" s="130">
        <f>SUM(O6:O26)</f>
        <v/>
      </c>
      <c r="P29" s="130">
        <f>SUM(P6:P26)</f>
        <v/>
      </c>
      <c r="Q29" s="130">
        <f>SUM(Q6:Q26)</f>
        <v/>
      </c>
      <c r="R29" s="130">
        <f>SUM(R6:R26)</f>
        <v/>
      </c>
      <c r="S29" s="130">
        <f>SUM(S6:S26)</f>
        <v/>
      </c>
      <c r="T29" s="130">
        <f>SUM(T6:T26)</f>
        <v/>
      </c>
      <c r="U29" s="130">
        <f>SUM(U6:U26)</f>
        <v/>
      </c>
      <c r="V29" s="130">
        <f>SUM(V6:V26)</f>
        <v/>
      </c>
      <c r="W29" s="130">
        <f>SUM(W6:W26)</f>
        <v/>
      </c>
      <c r="X29" s="130">
        <f>SUM(X6:X26)</f>
        <v/>
      </c>
      <c r="Y29" s="130">
        <f>SUM(Y6:Y26)</f>
        <v/>
      </c>
      <c r="Z29" s="130">
        <f>SUM(Z6:Z26)</f>
        <v/>
      </c>
      <c r="AA29" s="130">
        <f>SUM(AA6:AA26)</f>
        <v/>
      </c>
      <c r="AB29" s="131" t="n"/>
      <c r="AC29" s="131" t="n"/>
      <c r="AD29" s="132">
        <f>SUM(M29:AB29)</f>
        <v/>
      </c>
      <c r="AE29" s="115" t="n"/>
      <c r="AF29" s="115" t="n"/>
      <c r="AG29" s="115" t="n"/>
      <c r="AH29" s="115" t="n"/>
      <c r="AI29" s="115" t="n"/>
      <c r="AJ29" s="115" t="n"/>
      <c r="AK29" s="115" t="n"/>
      <c r="AL29" s="115" t="n"/>
      <c r="AM29" s="115" t="n"/>
      <c r="AN29" s="115" t="n"/>
      <c r="AO29" s="115" t="n"/>
      <c r="AP29" s="115" t="n"/>
    </row>
    <row r="30" ht="21" customFormat="1" customHeight="1" s="116" thickBot="1">
      <c r="J30" s="114" t="n"/>
      <c r="K30" s="114" t="n"/>
      <c r="L30" s="114" t="n"/>
      <c r="AE30" s="115" t="n"/>
      <c r="AF30" s="115" t="n"/>
      <c r="AG30" s="115" t="n"/>
      <c r="AH30" s="115" t="n"/>
      <c r="AI30" s="115" t="n"/>
      <c r="AJ30" s="115" t="n"/>
      <c r="AK30" s="115" t="n"/>
      <c r="AL30" s="115" t="n"/>
      <c r="AM30" s="115" t="n"/>
      <c r="AN30" s="115" t="n"/>
      <c r="AO30" s="115" t="n"/>
      <c r="AP30" s="115" t="n"/>
    </row>
    <row r="31" ht="21.6" customFormat="1" customHeight="1" s="116" thickBot="1">
      <c r="A31" s="133" t="inlineStr">
        <is>
          <t>MÉDIA DIÁRIA CHAPAS</t>
        </is>
      </c>
      <c r="B31" s="133" t="n"/>
      <c r="C31" s="134" t="n">
        <v>11</v>
      </c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AE31" s="115" t="n"/>
      <c r="AF31" s="115" t="n"/>
      <c r="AG31" s="115" t="n"/>
      <c r="AH31" s="115" t="n"/>
      <c r="AI31" s="115" t="n"/>
      <c r="AJ31" s="115" t="n"/>
      <c r="AK31" s="115" t="n"/>
      <c r="AL31" s="115" t="n"/>
      <c r="AM31" s="115" t="n"/>
      <c r="AN31" s="115" t="n"/>
      <c r="AO31" s="115" t="n"/>
      <c r="AP31" s="115" t="n"/>
    </row>
    <row r="32" ht="20.4" customFormat="1" customHeight="1" s="116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5" t="n"/>
      <c r="AF32" s="115" t="n"/>
      <c r="AG32" s="115" t="n"/>
      <c r="AH32" s="115" t="n"/>
      <c r="AI32" s="115" t="n"/>
      <c r="AJ32" s="115" t="n"/>
      <c r="AK32" s="115" t="n"/>
      <c r="AL32" s="115" t="n"/>
      <c r="AM32" s="115" t="n"/>
      <c r="AN32" s="115" t="n"/>
      <c r="AO32" s="115" t="n"/>
      <c r="AP32" s="115" t="n"/>
    </row>
    <row r="33" ht="21.6" customFormat="1" customHeight="1" s="116" thickBot="1">
      <c r="A33" s="60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5" t="n"/>
      <c r="AF33" s="115" t="n"/>
      <c r="AG33" s="115" t="n"/>
      <c r="AH33" s="115" t="n"/>
      <c r="AI33" s="115" t="n"/>
      <c r="AJ33" s="115" t="n"/>
      <c r="AK33" s="115" t="n"/>
      <c r="AL33" s="115" t="n"/>
      <c r="AM33" s="115" t="n"/>
      <c r="AN33" s="115" t="n"/>
      <c r="AO33" s="115" t="n"/>
      <c r="AP33" s="115" t="n"/>
    </row>
    <row r="34" ht="21" customFormat="1" customHeight="1" s="116" thickBot="1">
      <c r="A34" s="159" t="inlineStr">
        <is>
          <t>2ª QUINZENA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6" t="n"/>
      <c r="L34" s="112" t="n"/>
      <c r="M34" s="160" t="inlineStr">
        <is>
          <t xml:space="preserve">TOTAL </t>
        </is>
      </c>
      <c r="N34" s="152" t="n"/>
      <c r="O34" s="152" t="n"/>
      <c r="P34" s="152" t="n"/>
      <c r="Q34" s="152" t="n"/>
      <c r="R34" s="152" t="n"/>
      <c r="S34" s="152" t="n"/>
      <c r="T34" s="152" t="n"/>
      <c r="U34" s="152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8" t="n"/>
      <c r="AE34" s="107" t="n"/>
      <c r="AF34" s="107" t="n"/>
      <c r="AG34" s="115" t="n"/>
      <c r="AH34" s="115" t="n"/>
      <c r="AI34" s="115" t="n"/>
      <c r="AJ34" s="115" t="n"/>
      <c r="AK34" s="115" t="n"/>
      <c r="AL34" s="115" t="n"/>
      <c r="AM34" s="115" t="n"/>
      <c r="AN34" s="115" t="n"/>
      <c r="AO34" s="115" t="n"/>
      <c r="AP34" s="115" t="n"/>
    </row>
    <row r="35" ht="21" customFormat="1" customHeight="1" s="116">
      <c r="A35" s="19" t="inlineStr">
        <is>
          <t>LOCAL</t>
        </is>
      </c>
      <c r="B35" s="19" t="inlineStr">
        <is>
          <t>NOME</t>
        </is>
      </c>
      <c r="C35" s="20" t="inlineStr">
        <is>
          <t>DIÁRIA</t>
        </is>
      </c>
      <c r="D35" s="20" t="inlineStr">
        <is>
          <t>DSR</t>
        </is>
      </c>
      <c r="E35" s="20" t="inlineStr">
        <is>
          <t>TOTAL</t>
        </is>
      </c>
      <c r="F35" s="20" t="inlineStr">
        <is>
          <t>FÉRIAS</t>
        </is>
      </c>
      <c r="G35" s="20" t="inlineStr">
        <is>
          <t>13º SALÁRIO</t>
        </is>
      </c>
      <c r="H35" s="20" t="inlineStr">
        <is>
          <t>FGTS</t>
        </is>
      </c>
      <c r="I35" s="92" t="inlineStr">
        <is>
          <t>T. 1º Q.</t>
        </is>
      </c>
      <c r="J35" s="92" t="inlineStr">
        <is>
          <t>INSS 1º</t>
        </is>
      </c>
      <c r="K35" s="21" t="inlineStr">
        <is>
          <t>INSS</t>
        </is>
      </c>
      <c r="L35" s="22" t="n"/>
      <c r="M35" s="103" t="n">
        <v>46250</v>
      </c>
      <c r="N35" s="103" t="n">
        <v>46251</v>
      </c>
      <c r="O35" s="103" t="n">
        <v>46252</v>
      </c>
      <c r="P35" s="103" t="n">
        <v>46253</v>
      </c>
      <c r="Q35" s="103" t="n">
        <v>46254</v>
      </c>
      <c r="R35" s="103" t="n">
        <v>46255</v>
      </c>
      <c r="S35" s="103" t="n">
        <v>46256</v>
      </c>
      <c r="T35" s="103" t="n">
        <v>46257</v>
      </c>
      <c r="U35" s="103" t="n">
        <v>46258</v>
      </c>
      <c r="V35" s="103" t="n">
        <v>46259</v>
      </c>
      <c r="W35" s="103" t="n">
        <v>46260</v>
      </c>
      <c r="X35" s="103" t="n">
        <v>46261</v>
      </c>
      <c r="Y35" s="103" t="n">
        <v>46262</v>
      </c>
      <c r="Z35" s="103" t="n">
        <v>46263</v>
      </c>
      <c r="AA35" s="103" t="n">
        <v>46264</v>
      </c>
      <c r="AB35" s="103" t="n">
        <v>46265</v>
      </c>
      <c r="AC35" s="83" t="inlineStr">
        <is>
          <t>TOTAL</t>
        </is>
      </c>
      <c r="AD35" s="115" t="n"/>
      <c r="AE35" s="115" t="n"/>
      <c r="AF35" s="115" t="n"/>
      <c r="AG35" s="115" t="n"/>
      <c r="AH35" s="115" t="n"/>
      <c r="AI35" s="115" t="n"/>
      <c r="AJ35" s="115" t="n"/>
      <c r="AK35" s="115" t="n"/>
      <c r="AL35" s="115" t="n"/>
      <c r="AM35" s="115" t="n"/>
      <c r="AN35" s="115" t="n"/>
      <c r="AO35" s="115" t="n"/>
    </row>
    <row r="36" ht="21" customFormat="1" customHeight="1" s="116">
      <c r="A36" s="93" t="inlineStr">
        <is>
          <t>FRANCA</t>
        </is>
      </c>
      <c r="B36" s="117" t="inlineStr">
        <is>
          <t>CHAPA_06</t>
        </is>
      </c>
      <c r="C36" s="118">
        <f>AC36</f>
        <v/>
      </c>
      <c r="D36" s="118">
        <f>C36*0.1818</f>
        <v/>
      </c>
      <c r="E36" s="118">
        <f>SUM(C36:D36)</f>
        <v/>
      </c>
      <c r="F36" s="118">
        <f>E36*0.1111</f>
        <v/>
      </c>
      <c r="G36" s="118">
        <f>E36*0.083</f>
        <v/>
      </c>
      <c r="H36" s="118">
        <f>SUM(E36:G36)*0.08</f>
        <v/>
      </c>
      <c r="I36" s="118">
        <f>IF(E36&lt;=$F$67,E36*$G$67,IF(E36&lt;=$F$68,E36*$G$68,IF(E36&lt;=$F$69,E36*$G$69,513.0125)))</f>
        <v/>
      </c>
      <c r="J36" s="135">
        <f>IF(I5=0,0,VLOOKUP(#REF!,$B$6:$I$26,8,0))</f>
        <v/>
      </c>
      <c r="K36" s="136">
        <f>IF(E36+I36&lt;=$K$60,(E36+I36)*J70-J36,IF(E36+I36&lt;=$K$61,(E36+I36)*J71-J36,IF(E36+I36&lt;=$K$62,(E36+I36)*L72-J36,513.0125)))</f>
        <v/>
      </c>
      <c r="L36" s="22" t="n"/>
      <c r="M36" s="32" t="n">
        <v>0</v>
      </c>
      <c r="N36" s="32" t="n">
        <v>112.76</v>
      </c>
      <c r="O36" s="32" t="n">
        <v>136.93</v>
      </c>
      <c r="P36" s="32" t="n">
        <v>112.76</v>
      </c>
      <c r="Q36" s="32" t="n">
        <v>207.93</v>
      </c>
      <c r="R36" s="32" t="n">
        <v>112.76</v>
      </c>
      <c r="S36" s="32" t="n">
        <v>32.03</v>
      </c>
      <c r="T36" s="32" t="n">
        <v>0</v>
      </c>
      <c r="U36" s="32" t="n">
        <v>133.61375</v>
      </c>
      <c r="V36" s="32" t="n">
        <v>0</v>
      </c>
      <c r="W36" s="32" t="n">
        <v>0</v>
      </c>
      <c r="X36" s="32" t="n">
        <v>143.0077777778</v>
      </c>
      <c r="Y36" s="32" t="n">
        <v>119.8922222222</v>
      </c>
      <c r="Z36" s="32" t="n">
        <v>118.52</v>
      </c>
      <c r="AA36" s="32" t="n">
        <v>0</v>
      </c>
      <c r="AB36" s="32" t="n">
        <v>150.638125</v>
      </c>
      <c r="AC36" s="137">
        <f>SUM(M36:AB36)</f>
        <v/>
      </c>
      <c r="AD36" s="115" t="n"/>
      <c r="AE36" s="115" t="n"/>
      <c r="AF36" s="115" t="n"/>
      <c r="AG36" s="115" t="n"/>
      <c r="AH36" s="115" t="n"/>
      <c r="AI36" s="115" t="n"/>
      <c r="AJ36" s="115" t="n"/>
      <c r="AK36" s="115" t="n"/>
      <c r="AL36" s="115" t="n"/>
      <c r="AM36" s="115" t="n"/>
      <c r="AN36" s="115" t="n"/>
      <c r="AO36" s="115" t="n"/>
    </row>
    <row r="37" ht="21" customFormat="1" customHeight="1" s="116">
      <c r="A37" s="93" t="inlineStr">
        <is>
          <t>FRANCA</t>
        </is>
      </c>
      <c r="B37" s="117" t="inlineStr">
        <is>
          <t>CHAPA_14</t>
        </is>
      </c>
      <c r="C37" s="136">
        <f>AC37</f>
        <v/>
      </c>
      <c r="D37" s="136">
        <f>C37*0.1818</f>
        <v/>
      </c>
      <c r="E37" s="136">
        <f>SUM(C37:D37)</f>
        <v/>
      </c>
      <c r="F37" s="136">
        <f>E37*0.1111</f>
        <v/>
      </c>
      <c r="G37" s="136">
        <f>E37*0.083</f>
        <v/>
      </c>
      <c r="H37" s="136">
        <f>SUM(E37:G37)*0.08</f>
        <v/>
      </c>
      <c r="I37" s="135">
        <f>AC6</f>
        <v/>
      </c>
      <c r="J37" s="135">
        <f>IF(I6=0,0,VLOOKUP(#REF!,$B$6:$I$26,8,0))</f>
        <v/>
      </c>
      <c r="K37" s="136">
        <f>IF(E37+I37&lt;=$K$60,(E37+I37)*J71-J37,IF(E37+I37&lt;=$K$61,(E37+I37)*J72-J37,IF(E37+I37&lt;=$K$62,(E37+I37)*L73-J37,513.0125)))</f>
        <v/>
      </c>
      <c r="L37" s="22" t="n"/>
      <c r="M37" s="32" t="n">
        <v>0</v>
      </c>
      <c r="N37" s="32" t="n">
        <v>112.76</v>
      </c>
      <c r="O37" s="32" t="n">
        <v>117.12</v>
      </c>
      <c r="P37" s="32" t="n">
        <v>112.76</v>
      </c>
      <c r="Q37" s="32" t="n">
        <v>207.93</v>
      </c>
      <c r="R37" s="32" t="n">
        <v>112.76</v>
      </c>
      <c r="S37" s="32" t="n">
        <v>57.89</v>
      </c>
      <c r="T37" s="32" t="n">
        <v>0</v>
      </c>
      <c r="U37" s="32" t="n">
        <v>133.61375</v>
      </c>
      <c r="V37" s="32" t="n">
        <v>112.76</v>
      </c>
      <c r="W37" s="32" t="n">
        <v>112.76</v>
      </c>
      <c r="X37" s="32" t="n">
        <v>143.0077777778</v>
      </c>
      <c r="Y37" s="32" t="n">
        <v>119.8922222222</v>
      </c>
      <c r="Z37" s="32" t="n">
        <v>51.255</v>
      </c>
      <c r="AA37" s="32" t="n">
        <v>0</v>
      </c>
      <c r="AB37" s="32" t="n">
        <v>150.638125</v>
      </c>
      <c r="AC37" s="137">
        <f>SUM(M37:AB37)</f>
        <v/>
      </c>
      <c r="AD37" s="115" t="n"/>
      <c r="AE37" s="115" t="n"/>
      <c r="AF37" s="115" t="n"/>
      <c r="AG37" s="115" t="n"/>
      <c r="AH37" s="115" t="n"/>
      <c r="AI37" s="115" t="n"/>
      <c r="AJ37" s="115" t="n"/>
      <c r="AK37" s="115" t="n"/>
      <c r="AL37" s="115" t="n"/>
      <c r="AM37" s="115" t="n"/>
      <c r="AN37" s="115" t="n"/>
      <c r="AO37" s="115" t="n"/>
    </row>
    <row r="38" ht="21" customFormat="1" customHeight="1" s="116">
      <c r="A38" s="93" t="inlineStr">
        <is>
          <t>FRANCA</t>
        </is>
      </c>
      <c r="B38" s="120" t="inlineStr">
        <is>
          <t>CHAPA_15</t>
        </is>
      </c>
      <c r="C38" s="118">
        <f>AC38</f>
        <v/>
      </c>
      <c r="D38" s="118">
        <f>C38*0.1818</f>
        <v/>
      </c>
      <c r="E38" s="118">
        <f>SUM(C38:D38)</f>
        <v/>
      </c>
      <c r="F38" s="118">
        <f>E38*0.1111</f>
        <v/>
      </c>
      <c r="G38" s="118">
        <f>E38*0.083</f>
        <v/>
      </c>
      <c r="H38" s="118">
        <f>SUM(E38:G38)*0.08</f>
        <v/>
      </c>
      <c r="I38" s="118">
        <f>IF(E38&lt;=$F$67,E38*$G$67,IF(E38&lt;=$F$68,E38*$G$68,IF(E38&lt;=$F$69,E38*$G$69,513.0125)))</f>
        <v/>
      </c>
      <c r="J38" s="135">
        <f>IF(I7=0,0,VLOOKUP(#REF!,$B$6:$I$26,8,0))</f>
        <v/>
      </c>
      <c r="K38" s="136">
        <f>IF(E38+I38&lt;=$K$60,(E38+I38)*J72-J38,IF(E38+I38&lt;=$K$61,(E38+I38)*J73-J38,IF(E38+I38&lt;=$K$62,(E38+I38)*L74-J38,513.0125)))</f>
        <v/>
      </c>
      <c r="L38" s="22" t="n"/>
      <c r="M38" s="32" t="n">
        <v>0</v>
      </c>
      <c r="N38" s="32" t="n">
        <v>112.76</v>
      </c>
      <c r="O38" s="32" t="n">
        <v>117.12</v>
      </c>
      <c r="P38" s="32" t="n">
        <v>112.76</v>
      </c>
      <c r="Q38" s="32" t="n">
        <v>207.93</v>
      </c>
      <c r="R38" s="32" t="n">
        <v>83.29000000000001</v>
      </c>
      <c r="S38" s="32" t="n">
        <v>57.9</v>
      </c>
      <c r="T38" s="32" t="n">
        <v>0</v>
      </c>
      <c r="U38" s="32" t="n">
        <v>51.26</v>
      </c>
      <c r="V38" s="32" t="n">
        <v>112.76</v>
      </c>
      <c r="W38" s="32" t="n">
        <v>112.76</v>
      </c>
      <c r="X38" s="32" t="n">
        <v>143.0077777778</v>
      </c>
      <c r="Y38" s="32" t="n">
        <v>119.8922222222</v>
      </c>
      <c r="Z38" s="32" t="n">
        <v>51.255</v>
      </c>
      <c r="AA38" s="32" t="n">
        <v>0</v>
      </c>
      <c r="AB38" s="32" t="n">
        <v>150.638125</v>
      </c>
      <c r="AC38" s="137">
        <f>SUM(M38:AB38)</f>
        <v/>
      </c>
      <c r="AD38" s="115" t="n"/>
      <c r="AE38" s="115" t="n"/>
      <c r="AF38" s="115" t="n"/>
      <c r="AG38" s="115" t="n"/>
      <c r="AH38" s="115" t="n"/>
      <c r="AI38" s="115" t="n"/>
      <c r="AJ38" s="115" t="n"/>
      <c r="AK38" s="115" t="n"/>
      <c r="AL38" s="115" t="n"/>
      <c r="AM38" s="115" t="n"/>
      <c r="AN38" s="115" t="n"/>
      <c r="AO38" s="115" t="n"/>
    </row>
    <row r="39" ht="21" customFormat="1" customHeight="1" s="116">
      <c r="A39" s="93" t="inlineStr">
        <is>
          <t>FRANCA</t>
        </is>
      </c>
      <c r="B39" s="121" t="inlineStr">
        <is>
          <t>CHAPA_17</t>
        </is>
      </c>
      <c r="C39" s="118">
        <f>AC39</f>
        <v/>
      </c>
      <c r="D39" s="118">
        <f>C39*0.1818</f>
        <v/>
      </c>
      <c r="E39" s="118">
        <f>SUM(C39:D39)</f>
        <v/>
      </c>
      <c r="F39" s="118">
        <f>E39*0.1111</f>
        <v/>
      </c>
      <c r="G39" s="118">
        <f>E39*0.083</f>
        <v/>
      </c>
      <c r="H39" s="118">
        <f>SUM(E39:G39)*0.08</f>
        <v/>
      </c>
      <c r="I39" s="118">
        <f>IF(E39&lt;=$F$67,E39*$G$67,IF(E39&lt;=$F$68,E39*$G$68,IF(E39&lt;=$F$69,E39*$G$69,513.0125)))</f>
        <v/>
      </c>
      <c r="J39" s="135">
        <f>IF(I8=0,0,VLOOKUP(#REF!,$B$6:$I$26,8,0))</f>
        <v/>
      </c>
      <c r="K39" s="136">
        <f>IF(E39+I39&lt;=$K$60,(E39+I39)*J73-J39,IF(E39+I39&lt;=$K$61,(E39+I39)*J74-J39,IF(E39+I39&lt;=$K$62,(E39+I39)*L75-J39,513.0125)))</f>
        <v/>
      </c>
      <c r="L39" s="22" t="n"/>
      <c r="M39" s="32" t="n">
        <v>0</v>
      </c>
      <c r="N39" s="32" t="n">
        <v>0</v>
      </c>
      <c r="O39" s="32" t="n">
        <v>0</v>
      </c>
      <c r="P39" s="32" t="n">
        <v>112.76</v>
      </c>
      <c r="Q39" s="32" t="n">
        <v>51.26</v>
      </c>
      <c r="R39" s="32" t="n">
        <v>141.59</v>
      </c>
      <c r="S39" s="32" t="n">
        <v>125.17</v>
      </c>
      <c r="T39" s="32" t="n">
        <v>0</v>
      </c>
      <c r="U39" s="32" t="n">
        <v>133.61375</v>
      </c>
      <c r="V39" s="32" t="n">
        <v>112.76</v>
      </c>
      <c r="W39" s="32" t="n">
        <v>112.76</v>
      </c>
      <c r="X39" s="32" t="n">
        <v>143.0077777778</v>
      </c>
      <c r="Y39" s="32" t="n">
        <v>119.89</v>
      </c>
      <c r="Z39" s="32" t="n">
        <v>0</v>
      </c>
      <c r="AA39" s="32" t="n">
        <v>0</v>
      </c>
      <c r="AB39" s="32" t="n">
        <v>150.638125</v>
      </c>
      <c r="AC39" s="137">
        <f>SUM(M39:AB39)</f>
        <v/>
      </c>
      <c r="AD39" s="115" t="n"/>
      <c r="AE39" s="115" t="n"/>
      <c r="AF39" s="115" t="n"/>
      <c r="AG39" s="115" t="n"/>
      <c r="AH39" s="115" t="n"/>
      <c r="AI39" s="115" t="n"/>
      <c r="AJ39" s="115" t="n"/>
      <c r="AK39" s="115" t="n"/>
      <c r="AL39" s="115" t="n"/>
      <c r="AM39" s="115" t="n"/>
      <c r="AN39" s="115" t="n"/>
      <c r="AO39" s="115" t="n"/>
    </row>
    <row r="40" ht="21" customFormat="1" customHeight="1" s="116">
      <c r="A40" s="93" t="inlineStr">
        <is>
          <t>FRANCA</t>
        </is>
      </c>
      <c r="B40" s="122" t="inlineStr">
        <is>
          <t>CHAPA_26</t>
        </is>
      </c>
      <c r="C40" s="136">
        <f>AC40</f>
        <v/>
      </c>
      <c r="D40" s="136">
        <f>C40*0.1818</f>
        <v/>
      </c>
      <c r="E40" s="136">
        <f>SUM(C40:D40)</f>
        <v/>
      </c>
      <c r="F40" s="136">
        <f>E40*0.1111</f>
        <v/>
      </c>
      <c r="G40" s="136">
        <f>E40*0.083</f>
        <v/>
      </c>
      <c r="H40" s="136">
        <f>SUM(E40:G40)*0.08</f>
        <v/>
      </c>
      <c r="I40" s="135">
        <f>AC10</f>
        <v/>
      </c>
      <c r="J40" s="135">
        <f>IF(I9=0,0,VLOOKUP(#REF!,$B$6:$I$26,8,0))</f>
        <v/>
      </c>
      <c r="K40" s="136">
        <f>IF(E40+I40&lt;=$K$60,(E40+I40)*J74-J40,IF(E40+I40&lt;=$K$61,(E40+I40)*J75-J40,IF(E40+I40&lt;=$K$62,(E40+I40)*L76-J40,513.0125)))</f>
        <v/>
      </c>
      <c r="L40" s="22" t="n"/>
      <c r="M40" s="32" t="n">
        <v>0</v>
      </c>
      <c r="N40" s="32" t="n">
        <v>76.88</v>
      </c>
      <c r="O40" s="32" t="n">
        <v>117.13</v>
      </c>
      <c r="P40" s="32" t="n">
        <v>112.76</v>
      </c>
      <c r="Q40" s="32" t="n">
        <v>207.93</v>
      </c>
      <c r="R40" s="32" t="n">
        <v>112.76</v>
      </c>
      <c r="S40" s="32" t="n">
        <v>0</v>
      </c>
      <c r="T40" s="32" t="n">
        <v>0</v>
      </c>
      <c r="U40" s="32" t="n">
        <v>133.61375</v>
      </c>
      <c r="V40" s="32" t="n">
        <v>96.09999999999999</v>
      </c>
      <c r="W40" s="32" t="n">
        <v>112.76</v>
      </c>
      <c r="X40" s="32" t="n">
        <v>143.0077777778</v>
      </c>
      <c r="Y40" s="32" t="n">
        <v>119.8922222222</v>
      </c>
      <c r="Z40" s="32" t="n">
        <v>51.255</v>
      </c>
      <c r="AA40" s="32" t="n">
        <v>0</v>
      </c>
      <c r="AB40" s="32" t="n">
        <v>150.638125</v>
      </c>
      <c r="AC40" s="137">
        <f>SUM(M40:AB40)</f>
        <v/>
      </c>
      <c r="AD40" s="115" t="n"/>
      <c r="AE40" s="115" t="n"/>
      <c r="AF40" s="115" t="n"/>
      <c r="AG40" s="115" t="n"/>
      <c r="AH40" s="115" t="n"/>
      <c r="AI40" s="115" t="n"/>
      <c r="AJ40" s="115" t="n"/>
      <c r="AK40" s="115" t="n"/>
      <c r="AL40" s="115" t="n"/>
      <c r="AM40" s="115" t="n"/>
      <c r="AN40" s="115" t="n"/>
      <c r="AO40" s="115" t="n"/>
    </row>
    <row r="41" ht="21" customFormat="1" customHeight="1" s="116">
      <c r="A41" s="93" t="inlineStr">
        <is>
          <t>FRANCA</t>
        </is>
      </c>
      <c r="B41" s="120" t="inlineStr">
        <is>
          <t>CHAPA_38</t>
        </is>
      </c>
      <c r="C41" s="118">
        <f>AC41</f>
        <v/>
      </c>
      <c r="D41" s="118">
        <f>C41*0.1818</f>
        <v/>
      </c>
      <c r="E41" s="118">
        <f>SUM(C41:D41)</f>
        <v/>
      </c>
      <c r="F41" s="118">
        <f>E41*0.1111</f>
        <v/>
      </c>
      <c r="G41" s="118">
        <f>E41*0.083</f>
        <v/>
      </c>
      <c r="H41" s="118">
        <f>SUM(E41:G41)*0.08</f>
        <v/>
      </c>
      <c r="I41" s="118">
        <f>IF(E41&lt;=$F$67,E41*$G$67,IF(E41&lt;=$F$68,E41*$G$68,IF(E41&lt;=$F$69,E41*$G$69,513.0125)))</f>
        <v/>
      </c>
      <c r="J41" s="135">
        <f>IF(I10=0,0,VLOOKUP(#REF!,$B$6:$I$26,8,0))</f>
        <v/>
      </c>
      <c r="K41" s="136">
        <f>IF(E41+I41&lt;=$K$60,(E41+I41)*J75-J41,IF(E41+I41&lt;=$K$61,(E41+I41)*J76-J41,IF(E41+I41&lt;=$K$62,(E41+I41)*L77-J41,513.0125)))</f>
        <v/>
      </c>
      <c r="L41" s="22" t="n"/>
      <c r="M41" s="32" t="n">
        <v>0</v>
      </c>
      <c r="N41" s="32" t="n">
        <v>112.76</v>
      </c>
      <c r="O41" s="32" t="n">
        <v>117.13</v>
      </c>
      <c r="P41" s="32" t="n">
        <v>112.76</v>
      </c>
      <c r="Q41" s="32" t="n">
        <v>207.94</v>
      </c>
      <c r="R41" s="32" t="n">
        <v>0</v>
      </c>
      <c r="S41" s="32" t="n">
        <v>0</v>
      </c>
      <c r="T41" s="32" t="n">
        <v>0</v>
      </c>
      <c r="U41" s="32" t="n">
        <v>133.61375</v>
      </c>
      <c r="V41" s="32" t="n">
        <v>102.51</v>
      </c>
      <c r="W41" s="32" t="n">
        <v>112.76</v>
      </c>
      <c r="X41" s="32" t="n">
        <v>143.0077777778</v>
      </c>
      <c r="Y41" s="32" t="n">
        <v>119.8922222222</v>
      </c>
      <c r="Z41" s="32" t="n">
        <v>137.745</v>
      </c>
      <c r="AA41" s="32" t="n">
        <v>0</v>
      </c>
      <c r="AB41" s="32" t="n">
        <v>150.638125</v>
      </c>
      <c r="AC41" s="137">
        <f>SUM(M41:AB41)</f>
        <v/>
      </c>
      <c r="AD41" s="115" t="n"/>
      <c r="AE41" s="115" t="n"/>
      <c r="AF41" s="115" t="n"/>
      <c r="AG41" s="115" t="n"/>
      <c r="AH41" s="115" t="n"/>
      <c r="AI41" s="115" t="n"/>
      <c r="AJ41" s="115" t="n"/>
      <c r="AK41" s="115" t="n"/>
      <c r="AL41" s="115" t="n"/>
      <c r="AM41" s="115" t="n"/>
      <c r="AN41" s="115" t="n"/>
      <c r="AO41" s="115" t="n"/>
    </row>
    <row r="42" ht="21" customFormat="1" customHeight="1" s="116">
      <c r="A42" s="93" t="inlineStr">
        <is>
          <t>FRANCA</t>
        </is>
      </c>
      <c r="B42" s="120" t="inlineStr">
        <is>
          <t>CHAPA_41</t>
        </is>
      </c>
      <c r="C42" s="118">
        <f>AC42</f>
        <v/>
      </c>
      <c r="D42" s="118">
        <f>C42*0.1818</f>
        <v/>
      </c>
      <c r="E42" s="118">
        <f>SUM(C42:D42)</f>
        <v/>
      </c>
      <c r="F42" s="118">
        <f>E42*0.1111</f>
        <v/>
      </c>
      <c r="G42" s="118">
        <f>E42*0.083</f>
        <v/>
      </c>
      <c r="H42" s="118">
        <f>SUM(E42:G42)*0.08</f>
        <v/>
      </c>
      <c r="I42" s="118">
        <f>IF(E42&lt;=$F$67,E42*$G$67,IF(E42&lt;=$F$68,E42*$G$68,IF(E42&lt;=$F$69,E42*$G$69,513.0125)))</f>
        <v/>
      </c>
      <c r="J42" s="135">
        <f>IF(I11=0,0,VLOOKUP(#REF!,$B$6:$I$26,8,0))</f>
        <v/>
      </c>
      <c r="K42" s="136">
        <f>IF(E42+I42&lt;=$K$60,(E42+I42)*J77-J42,IF(E42+I42&lt;=$K$61,(E42+I42)*J78-J42,IF(E42+I42&lt;=$K$62,(E42+I42)*L79-J42,513.0125)))</f>
        <v/>
      </c>
      <c r="L42" s="22" t="n"/>
      <c r="M42" s="32" t="n">
        <v>0</v>
      </c>
      <c r="N42" s="32" t="n">
        <v>112.76</v>
      </c>
      <c r="O42" s="32" t="n">
        <v>117.13</v>
      </c>
      <c r="P42" s="32" t="n">
        <v>112.76</v>
      </c>
      <c r="Q42" s="32" t="n">
        <v>207.94</v>
      </c>
      <c r="R42" s="32" t="n">
        <v>112.76</v>
      </c>
      <c r="S42" s="32" t="n">
        <v>0</v>
      </c>
      <c r="T42" s="32" t="n">
        <v>0</v>
      </c>
      <c r="U42" s="32" t="n">
        <v>133.61375</v>
      </c>
      <c r="V42" s="32" t="n">
        <v>102.51</v>
      </c>
      <c r="W42" s="32" t="n">
        <v>112.76</v>
      </c>
      <c r="X42" s="32" t="n">
        <v>143.0077777778</v>
      </c>
      <c r="Y42" s="32" t="n">
        <v>119.8922222222</v>
      </c>
      <c r="Z42" s="32" t="n">
        <v>51.255</v>
      </c>
      <c r="AA42" s="32" t="n">
        <v>0</v>
      </c>
      <c r="AB42" s="32" t="n">
        <v>150.638125</v>
      </c>
      <c r="AC42" s="137">
        <f>SUM(M42:AB42)</f>
        <v/>
      </c>
      <c r="AD42" s="115" t="n"/>
      <c r="AE42" s="115" t="n"/>
      <c r="AF42" s="115" t="n"/>
      <c r="AG42" s="115" t="n"/>
      <c r="AH42" s="115" t="n"/>
      <c r="AI42" s="115" t="n"/>
      <c r="AJ42" s="115" t="n"/>
      <c r="AK42" s="115" t="n"/>
      <c r="AL42" s="115" t="n"/>
      <c r="AM42" s="115" t="n"/>
      <c r="AN42" s="115" t="n"/>
      <c r="AO42" s="115" t="n"/>
    </row>
    <row r="43" ht="21" customFormat="1" customHeight="1" s="116">
      <c r="A43" s="93" t="inlineStr">
        <is>
          <t>FRANCA</t>
        </is>
      </c>
      <c r="B43" s="120" t="inlineStr">
        <is>
          <t>CHAPA_43</t>
        </is>
      </c>
      <c r="C43" s="136">
        <f>AC43</f>
        <v/>
      </c>
      <c r="D43" s="136">
        <f>C43*0.1818</f>
        <v/>
      </c>
      <c r="E43" s="136">
        <f>SUM(C43:D43)</f>
        <v/>
      </c>
      <c r="F43" s="136">
        <f>E43*0.1111</f>
        <v/>
      </c>
      <c r="G43" s="136">
        <f>E43*0.083</f>
        <v/>
      </c>
      <c r="H43" s="136">
        <f>SUM(E43:G43)*0.08</f>
        <v/>
      </c>
      <c r="I43" s="135">
        <f>AC15</f>
        <v/>
      </c>
      <c r="J43" s="135">
        <f>IF(I15=0,0,VLOOKUP(#REF!,$B$6:$I$26,8,0))</f>
        <v/>
      </c>
      <c r="K43" s="136">
        <f>IF(E43+I43&lt;=$K$60,(E43+I43)*J79-J43,IF(E43+I43&lt;=$K$61,(E43+I43)*J80-J43,IF(E43+I43&lt;=$K$62,(E43+I43)*L81-J43,513.0125)))</f>
        <v/>
      </c>
      <c r="L43" s="22" t="n"/>
      <c r="M43" s="32" t="n">
        <v>0</v>
      </c>
      <c r="N43" s="32" t="n">
        <v>112.76</v>
      </c>
      <c r="O43" s="32" t="n">
        <v>117.13</v>
      </c>
      <c r="P43" s="32" t="n">
        <v>112.76</v>
      </c>
      <c r="Q43" s="32" t="n">
        <v>207.94</v>
      </c>
      <c r="R43" s="32" t="n">
        <v>112.76</v>
      </c>
      <c r="S43" s="32" t="n">
        <v>0</v>
      </c>
      <c r="T43" s="32" t="n">
        <v>0</v>
      </c>
      <c r="U43" s="32" t="n">
        <v>133.61375</v>
      </c>
      <c r="V43" s="32" t="n">
        <v>112.76</v>
      </c>
      <c r="W43" s="32" t="n">
        <v>112.76</v>
      </c>
      <c r="X43" s="32" t="n">
        <v>143.0077777778</v>
      </c>
      <c r="Y43" s="32" t="n">
        <v>119.8922222222</v>
      </c>
      <c r="Z43" s="32" t="n">
        <v>44.85</v>
      </c>
      <c r="AA43" s="32" t="n">
        <v>0</v>
      </c>
      <c r="AB43" s="32" t="n">
        <v>51.255</v>
      </c>
      <c r="AC43" s="137">
        <f>SUM(M43:AB43)</f>
        <v/>
      </c>
      <c r="AD43" s="115" t="n"/>
      <c r="AE43" s="115" t="n"/>
      <c r="AF43" s="115" t="n"/>
      <c r="AG43" s="115" t="n"/>
      <c r="AH43" s="115" t="n"/>
      <c r="AI43" s="115" t="n"/>
      <c r="AJ43" s="115" t="n"/>
      <c r="AK43" s="115" t="n"/>
      <c r="AL43" s="115" t="n"/>
      <c r="AM43" s="115" t="n"/>
      <c r="AN43" s="115" t="n"/>
      <c r="AO43" s="115" t="n"/>
    </row>
    <row r="44" ht="21" customFormat="1" customHeight="1" s="116">
      <c r="A44" s="93" t="inlineStr">
        <is>
          <t>FRANCA</t>
        </is>
      </c>
      <c r="B44" s="117" t="inlineStr">
        <is>
          <t>CHAPA_46</t>
        </is>
      </c>
      <c r="C44" s="136">
        <f>AC44</f>
        <v/>
      </c>
      <c r="D44" s="136">
        <f>C44*0.1818</f>
        <v/>
      </c>
      <c r="E44" s="136">
        <f>SUM(C44:D44)</f>
        <v/>
      </c>
      <c r="F44" s="136">
        <f>E44*0.1111</f>
        <v/>
      </c>
      <c r="G44" s="136">
        <f>E44*0.083</f>
        <v/>
      </c>
      <c r="H44" s="136">
        <f>SUM(E44:G44)*0.08</f>
        <v/>
      </c>
      <c r="I44" s="135">
        <f>AC16</f>
        <v/>
      </c>
      <c r="J44" s="135">
        <f>IF(I16=0,0,VLOOKUP(#REF!,$B$6:$I$26,8,0))</f>
        <v/>
      </c>
      <c r="K44" s="136">
        <f>IF(E44+I44&lt;=$K$60,(E44+I44)*J80-J44,IF(E44+I44&lt;=$K$61,(E44+I44)*J81-J44,IF(E44+I44&lt;=$K$62,(E44+I44)*L82-J44,513.0125)))</f>
        <v/>
      </c>
      <c r="L44" s="22" t="n"/>
      <c r="M44" s="32" t="n">
        <v>0</v>
      </c>
      <c r="N44" s="32" t="n">
        <v>51.25</v>
      </c>
      <c r="O44" s="32" t="n">
        <v>0</v>
      </c>
      <c r="P44" s="32" t="n">
        <v>0</v>
      </c>
      <c r="Q44" s="32" t="n">
        <v>207.94</v>
      </c>
      <c r="R44" s="32" t="n">
        <v>0</v>
      </c>
      <c r="S44" s="32" t="n">
        <v>0</v>
      </c>
      <c r="T44" s="32" t="n">
        <v>0</v>
      </c>
      <c r="U44" s="32" t="n">
        <v>133.61375</v>
      </c>
      <c r="V44" s="32" t="n">
        <v>112.76</v>
      </c>
      <c r="W44" s="32" t="n">
        <v>0</v>
      </c>
      <c r="X44" s="32" t="n">
        <v>143.0077777778</v>
      </c>
      <c r="Y44" s="32" t="n">
        <v>119.8922222222</v>
      </c>
      <c r="Z44" s="32" t="n">
        <v>51.255</v>
      </c>
      <c r="AA44" s="32" t="n">
        <v>0</v>
      </c>
      <c r="AB44" s="32" t="n">
        <v>150.638125</v>
      </c>
      <c r="AC44" s="137">
        <f>SUM(M44:AB44)</f>
        <v/>
      </c>
      <c r="AD44" s="115" t="n"/>
      <c r="AE44" s="115" t="n"/>
      <c r="AF44" s="115" t="n"/>
      <c r="AG44" s="115" t="n"/>
      <c r="AH44" s="115" t="n"/>
      <c r="AI44" s="115" t="n"/>
      <c r="AJ44" s="115" t="n"/>
      <c r="AK44" s="115" t="n"/>
      <c r="AL44" s="115" t="n"/>
      <c r="AM44" s="115" t="n"/>
      <c r="AN44" s="115" t="n"/>
      <c r="AO44" s="115" t="n"/>
    </row>
    <row r="45" ht="21" customFormat="1" customHeight="1" s="116">
      <c r="A45" s="93" t="inlineStr">
        <is>
          <t>FRANCA</t>
        </is>
      </c>
      <c r="B45" s="123" t="n"/>
      <c r="C45" s="136">
        <f>AC45</f>
        <v/>
      </c>
      <c r="D45" s="136">
        <f>C45*0.1818</f>
        <v/>
      </c>
      <c r="E45" s="136">
        <f>SUM(C45:D45)</f>
        <v/>
      </c>
      <c r="F45" s="136">
        <f>E45*0.1111</f>
        <v/>
      </c>
      <c r="G45" s="136">
        <f>E45*0.083</f>
        <v/>
      </c>
      <c r="H45" s="136">
        <f>SUM(E45:G45)*0.08</f>
        <v/>
      </c>
      <c r="I45" s="135">
        <f>AC17</f>
        <v/>
      </c>
      <c r="J45" s="135">
        <f>IF(I17=0,0,VLOOKUP(#REF!,$B$6:$I$26,8,0))</f>
        <v/>
      </c>
      <c r="K45" s="136">
        <f>IF(E45+I45&lt;=$K$60,(E45+I45)*J81-J45,IF(E45+I45&lt;=$K$61,(E45+I45)*J82-J45,IF(E45+I45&lt;=$K$62,(E45+I45)*L83-J45,513.0125)))</f>
        <v/>
      </c>
      <c r="L45" s="2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137">
        <f>SUM(M45:AB45)</f>
        <v/>
      </c>
      <c r="AD45" s="115" t="n"/>
      <c r="AE45" s="115" t="n"/>
      <c r="AF45" s="115" t="n"/>
      <c r="AG45" s="115" t="n"/>
      <c r="AH45" s="115" t="n"/>
      <c r="AI45" s="115" t="n"/>
      <c r="AJ45" s="115" t="n"/>
      <c r="AK45" s="115" t="n"/>
      <c r="AL45" s="115" t="n"/>
      <c r="AM45" s="115" t="n"/>
      <c r="AN45" s="115" t="n"/>
      <c r="AO45" s="115" t="n"/>
    </row>
    <row r="46" ht="21" customFormat="1" customHeight="1" s="116">
      <c r="A46" s="93" t="inlineStr">
        <is>
          <t>FRANCA</t>
        </is>
      </c>
      <c r="B46" s="123" t="n"/>
      <c r="C46" s="136">
        <f>AC46</f>
        <v/>
      </c>
      <c r="D46" s="136">
        <f>C46*0.1818</f>
        <v/>
      </c>
      <c r="E46" s="136">
        <f>SUM(C46:D46)</f>
        <v/>
      </c>
      <c r="F46" s="136">
        <f>E46*0.1111</f>
        <v/>
      </c>
      <c r="G46" s="136">
        <f>E46*0.083</f>
        <v/>
      </c>
      <c r="H46" s="136">
        <f>SUM(E46:G46)*0.08</f>
        <v/>
      </c>
      <c r="I46" s="135">
        <f>AC18</f>
        <v/>
      </c>
      <c r="J46" s="135">
        <f>IF(I18=0,0,VLOOKUP(#REF!,$B$6:$I$26,8,0))</f>
        <v/>
      </c>
      <c r="K46" s="136">
        <f>IF(E46+I46&lt;=$K$60,(E46+I46)*J82-J46,IF(E46+I46&lt;=$K$61,(E46+I46)*J83-J46,IF(E46+I46&lt;=$K$62,(E46+I46)*L84-J46,513.0125)))</f>
        <v/>
      </c>
      <c r="L46" s="22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  <c r="AB46" s="32" t="n"/>
      <c r="AC46" s="137">
        <f>SUM(M46:AB46)</f>
        <v/>
      </c>
      <c r="AD46" s="115" t="n"/>
      <c r="AE46" s="115" t="n"/>
      <c r="AF46" s="115" t="n"/>
      <c r="AG46" s="115" t="n"/>
      <c r="AH46" s="115" t="n"/>
      <c r="AI46" s="115" t="n"/>
      <c r="AJ46" s="115" t="n"/>
      <c r="AK46" s="115" t="n"/>
      <c r="AL46" s="115" t="n"/>
      <c r="AM46" s="115" t="n"/>
      <c r="AN46" s="115" t="n"/>
      <c r="AO46" s="115" t="n"/>
    </row>
    <row r="47" ht="21" customFormat="1" customHeight="1" s="116">
      <c r="A47" s="93" t="inlineStr">
        <is>
          <t>FRANCA</t>
        </is>
      </c>
      <c r="B47" s="117" t="n"/>
      <c r="C47" s="136" t="n">
        <v>0</v>
      </c>
      <c r="D47" s="136">
        <f>C47*0.1818</f>
        <v/>
      </c>
      <c r="E47" s="136">
        <f>SUM(C47:D47)</f>
        <v/>
      </c>
      <c r="F47" s="136">
        <f>E47*0.1111</f>
        <v/>
      </c>
      <c r="G47" s="136">
        <f>E47*0.083</f>
        <v/>
      </c>
      <c r="H47" s="136">
        <f>SUM(E47:G47)*0.08</f>
        <v/>
      </c>
      <c r="I47" s="135">
        <f>AC19</f>
        <v/>
      </c>
      <c r="J47" s="135">
        <f>IF(I19=0,0,VLOOKUP(#REF!,$B$6:$I$26,8,0))</f>
        <v/>
      </c>
      <c r="K47" s="136">
        <f>IF(E47+I47&lt;=$K$60,(E47+I47)*J83-J47,IF(E47+I47&lt;=$K$61,(E47+I47)*J84-J47,IF(E47+I47&lt;=$K$62,(E47+I47)*L85-J47,513.0125)))</f>
        <v/>
      </c>
      <c r="L47" s="2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137">
        <f>SUM(M47:AB47)</f>
        <v/>
      </c>
      <c r="AD47" s="115" t="n"/>
      <c r="AE47" s="115" t="n"/>
      <c r="AF47" s="115" t="n"/>
      <c r="AG47" s="115" t="n"/>
      <c r="AH47" s="115" t="n"/>
      <c r="AI47" s="115" t="n"/>
      <c r="AJ47" s="115" t="n"/>
      <c r="AK47" s="115" t="n"/>
      <c r="AL47" s="115" t="n"/>
      <c r="AM47" s="115" t="n"/>
      <c r="AN47" s="115" t="n"/>
      <c r="AO47" s="115" t="n"/>
    </row>
    <row r="48" ht="21" customFormat="1" customHeight="1" s="116">
      <c r="A48" s="93" t="inlineStr">
        <is>
          <t>FRANCA</t>
        </is>
      </c>
      <c r="B48" s="122" t="n"/>
      <c r="C48" s="136">
        <f>AC48</f>
        <v/>
      </c>
      <c r="D48" s="136">
        <f>C48*0.1818</f>
        <v/>
      </c>
      <c r="E48" s="136">
        <f>SUM(C48:D48)</f>
        <v/>
      </c>
      <c r="F48" s="136">
        <f>E48*0.1111</f>
        <v/>
      </c>
      <c r="G48" s="136">
        <f>E48*0.083</f>
        <v/>
      </c>
      <c r="H48" s="136">
        <f>SUM(E48:G48)*0.08</f>
        <v/>
      </c>
      <c r="I48" s="135">
        <f>AC20</f>
        <v/>
      </c>
      <c r="J48" s="135">
        <f>IF(I20=0,0,VLOOKUP(#REF!,$B$6:$I$26,8,0))</f>
        <v/>
      </c>
      <c r="K48" s="136">
        <f>IF(E48+I48&lt;=$K$60,(E48+I48)*J84-J48,IF(E48+I48&lt;=$K$61,(E48+I48)*J85-J48,IF(E48+I48&lt;=$K$62,(E48+I48)*L86-J48,513.0125)))</f>
        <v/>
      </c>
      <c r="L48" s="2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97" t="n"/>
      <c r="AA48" s="97" t="n"/>
      <c r="AB48" s="97" t="n"/>
      <c r="AC48" s="137">
        <f>SUM(M48:AB48)</f>
        <v/>
      </c>
      <c r="AD48" s="115" t="n"/>
      <c r="AE48" s="115" t="n"/>
      <c r="AF48" s="115" t="n"/>
      <c r="AG48" s="115" t="n"/>
      <c r="AH48" s="115" t="n"/>
      <c r="AI48" s="115" t="n"/>
      <c r="AJ48" s="115" t="n"/>
      <c r="AK48" s="115" t="n"/>
      <c r="AL48" s="115" t="n"/>
      <c r="AM48" s="115" t="n"/>
      <c r="AN48" s="115" t="n"/>
      <c r="AO48" s="115" t="n"/>
    </row>
    <row r="49" ht="21" customFormat="1" customHeight="1" s="116">
      <c r="A49" s="93" t="inlineStr">
        <is>
          <t>FRANCA</t>
        </is>
      </c>
      <c r="B49" s="120" t="n"/>
      <c r="C49" s="136">
        <f>AC49</f>
        <v/>
      </c>
      <c r="D49" s="136">
        <f>C49*0.1818</f>
        <v/>
      </c>
      <c r="E49" s="136">
        <f>SUM(C49:D49)</f>
        <v/>
      </c>
      <c r="F49" s="136">
        <f>E49*0.1111</f>
        <v/>
      </c>
      <c r="G49" s="136">
        <f>E49*0.083</f>
        <v/>
      </c>
      <c r="H49" s="136">
        <f>SUM(E49:G49)*0.08</f>
        <v/>
      </c>
      <c r="I49" s="135">
        <f>AC21</f>
        <v/>
      </c>
      <c r="J49" s="135">
        <f>IF(I21=0,0,VLOOKUP(B16,$B$6:$I$26,8,0))</f>
        <v/>
      </c>
      <c r="K49" s="136">
        <f>IF(E49+I49&lt;=$K$60,(E49+I49)*J85-J49,IF(E49+I49&lt;=$K$61,(E49+I49)*J86-J49,IF(E49+I49&lt;=$K$62,(E49+I49)*L87-J49,513.0125)))</f>
        <v/>
      </c>
      <c r="L49" s="2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137">
        <f>SUM(M49:AB49)</f>
        <v/>
      </c>
      <c r="AD49" s="115" t="n"/>
      <c r="AE49" s="115" t="n"/>
      <c r="AF49" s="115" t="n"/>
      <c r="AG49" s="115" t="n"/>
      <c r="AH49" s="115" t="n"/>
      <c r="AI49" s="115" t="n"/>
      <c r="AJ49" s="115" t="n"/>
      <c r="AK49" s="115" t="n"/>
      <c r="AL49" s="115" t="n"/>
      <c r="AM49" s="115" t="n"/>
      <c r="AN49" s="115" t="n"/>
      <c r="AO49" s="115" t="n"/>
    </row>
    <row r="50" ht="21" customFormat="1" customHeight="1" s="116">
      <c r="A50" s="93" t="inlineStr">
        <is>
          <t>FRANCA</t>
        </is>
      </c>
      <c r="B50" s="120" t="n"/>
      <c r="C50" s="136">
        <f>AC50</f>
        <v/>
      </c>
      <c r="D50" s="136">
        <f>C50*0.1818</f>
        <v/>
      </c>
      <c r="E50" s="136">
        <f>SUM(C50:D50)</f>
        <v/>
      </c>
      <c r="F50" s="136">
        <f>E50*0.1111</f>
        <v/>
      </c>
      <c r="G50" s="136">
        <f>E50*0.083</f>
        <v/>
      </c>
      <c r="H50" s="136">
        <f>SUM(E50:G50)*0.08</f>
        <v/>
      </c>
      <c r="I50" s="135">
        <f>AC22</f>
        <v/>
      </c>
      <c r="J50" s="135">
        <f>IF(I22=0,0,VLOOKUP(#REF!,$B$6:$I$26,8,0))</f>
        <v/>
      </c>
      <c r="K50" s="136">
        <f>IF(E50+I50&lt;=$K$60,(E50+I50)*J86-J50,IF(E50+I50&lt;=$K$61,(E50+I50)*J87-J50,IF(E50+I50&lt;=$K$62,(E50+I50)*L88-J50,513.0125)))</f>
        <v/>
      </c>
      <c r="L50" s="2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66" t="n"/>
      <c r="AB50" s="66" t="n"/>
      <c r="AC50" s="137">
        <f>SUM(M50:AB50)</f>
        <v/>
      </c>
      <c r="AD50" s="115" t="n"/>
      <c r="AE50" s="115" t="n"/>
      <c r="AF50" s="115" t="n"/>
      <c r="AG50" s="115" t="n"/>
      <c r="AH50" s="115" t="n"/>
      <c r="AI50" s="115" t="n"/>
      <c r="AJ50" s="115" t="n"/>
      <c r="AK50" s="115" t="n"/>
      <c r="AL50" s="115" t="n"/>
      <c r="AM50" s="115" t="n"/>
      <c r="AN50" s="115" t="n"/>
      <c r="AO50" s="115" t="n"/>
    </row>
    <row r="51" ht="21" customFormat="1" customHeight="1" s="116">
      <c r="A51" s="93" t="inlineStr">
        <is>
          <t>FRANCA</t>
        </is>
      </c>
      <c r="B51" s="123" t="n"/>
      <c r="C51" s="136">
        <f>AC51</f>
        <v/>
      </c>
      <c r="D51" s="136">
        <f>C51*0.1818</f>
        <v/>
      </c>
      <c r="E51" s="136">
        <f>SUM(C51:D51)</f>
        <v/>
      </c>
      <c r="F51" s="136">
        <f>E51*0.1111</f>
        <v/>
      </c>
      <c r="G51" s="136">
        <f>E51*0.083</f>
        <v/>
      </c>
      <c r="H51" s="136">
        <f>SUM(E51:G51)*0.08</f>
        <v/>
      </c>
      <c r="I51" s="135">
        <f>AC23</f>
        <v/>
      </c>
      <c r="J51" s="135">
        <f>IF(I23=0,0,VLOOKUP(#REF!,$B$6:$I$26,8,0))</f>
        <v/>
      </c>
      <c r="K51" s="136">
        <f>IF(E51+I51&lt;=$K$60,(E51+I51)*J87-J51,IF(E51+I51&lt;=$K$61,(E51+I51)*J88-J51,IF(E51+I51&lt;=$K$62,(E51+I51)*L89-J51,513.0125)))</f>
        <v/>
      </c>
      <c r="L51" s="2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66" t="n"/>
      <c r="X51" s="66" t="n"/>
      <c r="Y51" s="66" t="n"/>
      <c r="Z51" s="66" t="n"/>
      <c r="AA51" s="66" t="n"/>
      <c r="AB51" s="66" t="n"/>
      <c r="AC51" s="137">
        <f>SUM(M51:AB51)</f>
        <v/>
      </c>
      <c r="AD51" s="115" t="n"/>
      <c r="AE51" s="115" t="n"/>
      <c r="AF51" s="115" t="n"/>
      <c r="AG51" s="115" t="n"/>
      <c r="AH51" s="115" t="n"/>
      <c r="AI51" s="115" t="n"/>
      <c r="AJ51" s="115" t="n"/>
      <c r="AK51" s="115" t="n"/>
      <c r="AL51" s="115" t="n"/>
      <c r="AM51" s="115" t="n"/>
      <c r="AN51" s="115" t="n"/>
      <c r="AO51" s="115" t="n"/>
    </row>
    <row r="52" ht="21" customFormat="1" customHeight="1" s="116">
      <c r="A52" s="93" t="inlineStr">
        <is>
          <t>FRANCA</t>
        </is>
      </c>
      <c r="B52" s="123" t="n"/>
      <c r="C52" s="136">
        <f>AC52</f>
        <v/>
      </c>
      <c r="D52" s="136">
        <f>C52*0.1818</f>
        <v/>
      </c>
      <c r="E52" s="136">
        <f>SUM(C52:D52)</f>
        <v/>
      </c>
      <c r="F52" s="136">
        <f>E52*0.1111</f>
        <v/>
      </c>
      <c r="G52" s="136">
        <f>E52*0.083</f>
        <v/>
      </c>
      <c r="H52" s="136">
        <f>SUM(E52:G52)*0.08</f>
        <v/>
      </c>
      <c r="I52" s="135">
        <f>AC24</f>
        <v/>
      </c>
      <c r="J52" s="135">
        <f>IF(I24=0,0,VLOOKUP(#REF!,$B$6:$I$26,8,0))</f>
        <v/>
      </c>
      <c r="K52" s="136">
        <f>IF(E52+I52&lt;=$K$60,(E52+I52)*J88-J52,IF(E52+I52&lt;=$K$61,(E52+I52)*J89-J52,IF(E52+I52&lt;=$K$62,(E52+I52)*L90-J52,513.0125)))</f>
        <v/>
      </c>
      <c r="L52" s="22" t="n"/>
      <c r="M52" s="32" t="n"/>
      <c r="N52" s="32" t="n"/>
      <c r="O52" s="67" t="n"/>
      <c r="P52" s="32" t="n"/>
      <c r="Q52" s="67" t="n"/>
      <c r="R52" s="32" t="n"/>
      <c r="S52" s="32" t="n"/>
      <c r="T52" s="67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137">
        <f>SUM(M52:AB52)</f>
        <v/>
      </c>
      <c r="AD52" s="115" t="n"/>
      <c r="AE52" s="115" t="n"/>
      <c r="AF52" s="115" t="n"/>
      <c r="AG52" s="115" t="n"/>
      <c r="AH52" s="115" t="n"/>
      <c r="AI52" s="115" t="n"/>
      <c r="AJ52" s="115" t="n"/>
      <c r="AK52" s="115" t="n"/>
      <c r="AL52" s="115" t="inlineStr">
        <is>
          <t xml:space="preserve"> </t>
        </is>
      </c>
      <c r="AM52" s="115" t="n"/>
      <c r="AN52" s="115" t="n"/>
      <c r="AO52" s="115" t="n"/>
    </row>
    <row r="53" ht="21" customFormat="1" customHeight="1" s="116">
      <c r="A53" s="93" t="inlineStr">
        <is>
          <t>FRANCA</t>
        </is>
      </c>
      <c r="B53" s="123" t="n"/>
      <c r="C53" s="136">
        <f>AC53</f>
        <v/>
      </c>
      <c r="D53" s="136">
        <f>C53*0.1818</f>
        <v/>
      </c>
      <c r="E53" s="136">
        <f>SUM(C53:D53)</f>
        <v/>
      </c>
      <c r="F53" s="136">
        <f>E53*0.1111</f>
        <v/>
      </c>
      <c r="G53" s="136">
        <f>E53*0.083</f>
        <v/>
      </c>
      <c r="H53" s="136">
        <f>SUM(E53:G53)*0.08</f>
        <v/>
      </c>
      <c r="I53" s="135">
        <f>AC25</f>
        <v/>
      </c>
      <c r="J53" s="135">
        <f>IF(I25=0,0,VLOOKUP(#REF!,$B$6:$I$26,8,0))</f>
        <v/>
      </c>
      <c r="K53" s="136">
        <f>IF(E53+I53&lt;=$K$60,(E53+I53)*J89-J53,IF(E53+I53&lt;=$K$61,(E53+I53)*J90-J53,IF(E53+I53&lt;=$K$62,(E53+I53)*L91-J53,513.0125)))</f>
        <v/>
      </c>
      <c r="L53" s="2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137">
        <f>SUM(M53:AB53)</f>
        <v/>
      </c>
      <c r="AD53" s="115" t="n"/>
      <c r="AE53" s="115" t="n"/>
      <c r="AF53" s="115" t="n"/>
      <c r="AG53" s="115" t="n"/>
      <c r="AH53" s="115" t="n"/>
      <c r="AI53" s="115" t="n"/>
      <c r="AJ53" s="115" t="n"/>
      <c r="AK53" s="115" t="n"/>
      <c r="AL53" s="115" t="n"/>
      <c r="AM53" s="115" t="n"/>
      <c r="AN53" s="115" t="n"/>
      <c r="AO53" s="115" t="n"/>
    </row>
    <row r="54" ht="21" customFormat="1" customHeight="1" s="116">
      <c r="A54" s="93" t="inlineStr">
        <is>
          <t>FRANCA</t>
        </is>
      </c>
      <c r="B54" s="123" t="n"/>
      <c r="C54" s="136">
        <f>AC54</f>
        <v/>
      </c>
      <c r="D54" s="136">
        <f>C54*0.1818</f>
        <v/>
      </c>
      <c r="E54" s="136">
        <f>SUM(C54:D54)</f>
        <v/>
      </c>
      <c r="F54" s="136">
        <f>E54*0.1111</f>
        <v/>
      </c>
      <c r="G54" s="136">
        <f>E54*0.083</f>
        <v/>
      </c>
      <c r="H54" s="136">
        <f>SUM(E54:G54)*0.08</f>
        <v/>
      </c>
      <c r="I54" s="135">
        <f>AC26</f>
        <v/>
      </c>
      <c r="J54" s="135">
        <f>IF(I26=0,0,VLOOKUP(#REF!,$B$6:$I$26,8,0))</f>
        <v/>
      </c>
      <c r="K54" s="136">
        <f>IF(E54+I54&lt;=$K$60,(E54+I54)*J90-J54,IF(E54+I54&lt;=$K$61,(E54+I54)*J91-J54,IF(E54+I54&lt;=$K$62,(E54+I54)*L92-J54,513.0125)))</f>
        <v/>
      </c>
      <c r="L54" s="22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137">
        <f>SUM(M54:AB54)</f>
        <v/>
      </c>
      <c r="AD54" s="115" t="n"/>
      <c r="AE54" s="115" t="n"/>
      <c r="AF54" s="115" t="n"/>
      <c r="AG54" s="115" t="n"/>
      <c r="AH54" s="115" t="n"/>
      <c r="AI54" s="115" t="n"/>
      <c r="AJ54" s="115" t="n"/>
      <c r="AK54" s="115" t="n"/>
      <c r="AL54" s="115" t="n"/>
      <c r="AM54" s="115" t="n"/>
      <c r="AN54" s="115" t="n"/>
      <c r="AO54" s="115" t="n"/>
    </row>
    <row r="55" ht="21" customFormat="1" customHeight="1" s="116" thickBot="1">
      <c r="A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25" t="n"/>
      <c r="N55" s="125" t="n">
        <v>29</v>
      </c>
      <c r="O55" s="125">
        <f>COUNT(#REF!)</f>
        <v/>
      </c>
      <c r="P55" s="125">
        <f>COUNT(#REF!)</f>
        <v/>
      </c>
      <c r="Q55" s="125">
        <f>COUNT(#REF!)</f>
        <v/>
      </c>
      <c r="R55" s="125" t="n"/>
      <c r="S55" s="125">
        <f>COUNT(#REF!)</f>
        <v/>
      </c>
      <c r="T55" s="125">
        <f>COUNT(#REF!)</f>
        <v/>
      </c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14" t="n"/>
      <c r="AE55" s="115" t="n"/>
      <c r="AF55" s="115" t="n"/>
      <c r="AG55" s="115" t="n"/>
      <c r="AH55" s="115" t="n"/>
      <c r="AI55" s="115" t="n"/>
      <c r="AJ55" s="115" t="n"/>
      <c r="AK55" s="115" t="n"/>
      <c r="AL55" s="115" t="n"/>
      <c r="AM55" s="115" t="n"/>
      <c r="AN55" s="115" t="n"/>
      <c r="AO55" s="115" t="n"/>
      <c r="AP55" s="115" t="n"/>
    </row>
    <row r="56" ht="21" customFormat="1" customHeight="1" s="116">
      <c r="L56" s="114" t="n"/>
      <c r="M56" s="149" t="inlineStr">
        <is>
          <t>TOTAL GERAL / BOLETIM ENSACADORES:</t>
        </is>
      </c>
      <c r="N56" s="150" t="n"/>
      <c r="O56" s="150" t="n"/>
      <c r="P56" s="150" t="n"/>
      <c r="Q56" s="150" t="n"/>
      <c r="R56" s="150" t="n"/>
      <c r="S56" s="150" t="n"/>
      <c r="T56" s="150" t="n"/>
      <c r="U56" s="150" t="n"/>
      <c r="V56" s="150" t="n"/>
      <c r="W56" s="150" t="n"/>
      <c r="X56" s="150" t="n"/>
      <c r="Y56" s="150" t="n"/>
      <c r="Z56" s="150" t="n"/>
      <c r="AA56" s="150" t="n"/>
      <c r="AB56" s="150" t="n"/>
      <c r="AC56" s="151" t="n"/>
      <c r="AD56" s="129" t="inlineStr">
        <is>
          <t>TOTAL:</t>
        </is>
      </c>
      <c r="AE56" s="115" t="n"/>
      <c r="AF56" s="115" t="n"/>
      <c r="AG56" s="115" t="n"/>
      <c r="AH56" s="115" t="n"/>
      <c r="AI56" s="115" t="n"/>
      <c r="AJ56" s="115" t="n"/>
      <c r="AK56" s="115" t="n"/>
      <c r="AL56" s="115" t="n"/>
      <c r="AM56" s="115" t="n"/>
      <c r="AN56" s="115" t="n"/>
      <c r="AO56" s="115" t="n"/>
      <c r="AP56" s="115" t="n"/>
    </row>
    <row r="57" ht="22.8" customFormat="1" customHeight="1" s="116">
      <c r="L57" s="114" t="n"/>
      <c r="M57" s="130">
        <f>SUM(M36:M54)</f>
        <v/>
      </c>
      <c r="N57" s="130">
        <f>SUM(N36:N54)</f>
        <v/>
      </c>
      <c r="O57" s="130">
        <f>SUM(O36:O54)</f>
        <v/>
      </c>
      <c r="P57" s="130">
        <f>SUM(P36:P54)</f>
        <v/>
      </c>
      <c r="Q57" s="130">
        <f>SUM(Q36:Q54)</f>
        <v/>
      </c>
      <c r="R57" s="130">
        <f>SUM(R36:R54)</f>
        <v/>
      </c>
      <c r="S57" s="130">
        <f>SUM(S36:S54)</f>
        <v/>
      </c>
      <c r="T57" s="130">
        <f>SUM(T36:T54)</f>
        <v/>
      </c>
      <c r="U57" s="130">
        <f>SUM(U36:U54)</f>
        <v/>
      </c>
      <c r="V57" s="130">
        <f>SUM(V36:V54)</f>
        <v/>
      </c>
      <c r="W57" s="130">
        <f>SUM(W36:W54)</f>
        <v/>
      </c>
      <c r="X57" s="130">
        <f>SUM(X36:X54)</f>
        <v/>
      </c>
      <c r="Y57" s="130">
        <f>SUM(Y36:Y54)</f>
        <v/>
      </c>
      <c r="Z57" s="130">
        <f>SUM(Z36:Z54)</f>
        <v/>
      </c>
      <c r="AA57" s="130">
        <f>SUM(AA36:AA54)</f>
        <v/>
      </c>
      <c r="AB57" s="130">
        <f>SUM(AB36:AB54)</f>
        <v/>
      </c>
      <c r="AC57" s="131" t="n"/>
      <c r="AD57" s="132">
        <f>SUM(M57:AB57)</f>
        <v/>
      </c>
      <c r="AE57" s="115" t="n"/>
      <c r="AF57" s="168" t="inlineStr">
        <is>
          <t>TOTAL FATURA</t>
        </is>
      </c>
      <c r="AG57" s="162" t="n"/>
      <c r="AH57" s="115" t="n"/>
      <c r="AI57" s="115" t="n"/>
      <c r="AJ57" s="115" t="n"/>
      <c r="AK57" s="115" t="n"/>
      <c r="AL57" s="115" t="n"/>
      <c r="AM57" s="115" t="n"/>
      <c r="AN57" s="115" t="n"/>
      <c r="AO57" s="115" t="n"/>
      <c r="AP57" s="115" t="n"/>
    </row>
    <row r="58" ht="22.8" customFormat="1" customHeight="1" s="116">
      <c r="L58" s="114" t="n"/>
      <c r="AE58" s="115" t="n"/>
      <c r="AF58" s="161">
        <f>SUM(AD29,AD57)</f>
        <v/>
      </c>
      <c r="AG58" s="162" t="n"/>
      <c r="AH58" s="115" t="n"/>
      <c r="AI58" s="115" t="n"/>
      <c r="AJ58" s="115" t="n"/>
      <c r="AK58" s="115" t="n"/>
      <c r="AL58" s="115" t="n"/>
      <c r="AM58" s="115" t="n"/>
      <c r="AN58" s="115" t="n"/>
      <c r="AO58" s="115" t="n"/>
      <c r="AP58" s="115" t="n"/>
    </row>
    <row r="59" ht="21" customFormat="1" customHeight="1" s="116" thickBot="1">
      <c r="L59" s="114" t="n"/>
      <c r="AE59" s="115" t="n"/>
      <c r="AF59" s="115" t="n"/>
      <c r="AG59" s="115" t="n"/>
      <c r="AH59" s="115" t="n"/>
      <c r="AI59" s="115" t="n"/>
      <c r="AJ59" s="115" t="n"/>
      <c r="AK59" s="115" t="n"/>
      <c r="AL59" s="115" t="n"/>
      <c r="AM59" s="115" t="n"/>
      <c r="AN59" s="115" t="n"/>
      <c r="AO59" s="115" t="n"/>
      <c r="AP59" s="115" t="n"/>
    </row>
    <row r="60" ht="21.6" customFormat="1" customHeight="1" s="116" thickBot="1">
      <c r="A60" s="138" t="inlineStr">
        <is>
          <t>MÉDIA DIARIA CHAPAS</t>
        </is>
      </c>
      <c r="B60" s="156" t="n"/>
      <c r="C60" s="134" t="n">
        <v>11</v>
      </c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43" t="n"/>
      <c r="N60" s="143" t="n"/>
      <c r="O60" s="143" t="n"/>
      <c r="P60" s="143" t="n"/>
      <c r="Q60" s="143" t="n"/>
      <c r="R60" s="143" t="n"/>
      <c r="S60" s="143" t="n"/>
      <c r="T60" s="143" t="n"/>
      <c r="U60" s="143" t="n"/>
      <c r="V60" s="143" t="n"/>
      <c r="W60" s="143" t="n"/>
      <c r="X60" s="143" t="n"/>
      <c r="Y60" s="143" t="n"/>
      <c r="Z60" s="143" t="n"/>
      <c r="AA60" s="143" t="n"/>
      <c r="AB60" s="143" t="n"/>
      <c r="AC60" s="143" t="n"/>
      <c r="AD60" s="143" t="n"/>
      <c r="AE60" s="115" t="n"/>
      <c r="AF60" s="115" t="n"/>
      <c r="AG60" s="115" t="n"/>
      <c r="AH60" s="115" t="n"/>
      <c r="AI60" s="115" t="n"/>
      <c r="AJ60" s="115" t="n"/>
      <c r="AK60" s="115" t="n"/>
      <c r="AL60" s="115" t="n"/>
      <c r="AM60" s="115" t="n"/>
      <c r="AN60" s="115" t="n"/>
      <c r="AO60" s="115" t="n"/>
      <c r="AP60" s="115" t="n"/>
    </row>
    <row r="61" ht="21.6" customFormat="1" customHeight="1" s="116" thickBot="1">
      <c r="A61" s="169" t="inlineStr">
        <is>
          <t>TOTAL DE CHAPAS NO MÊS</t>
        </is>
      </c>
      <c r="B61" s="156" t="n"/>
      <c r="C61" s="145" t="n">
        <v>11</v>
      </c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5" t="n"/>
      <c r="AF61" s="115" t="n"/>
      <c r="AG61" s="115" t="n"/>
      <c r="AH61" s="115" t="n"/>
      <c r="AI61" s="115" t="n"/>
      <c r="AJ61" s="115" t="n"/>
      <c r="AK61" s="115" t="n"/>
      <c r="AL61" s="115" t="n"/>
      <c r="AM61" s="115" t="n"/>
      <c r="AN61" s="115" t="n"/>
      <c r="AO61" s="115" t="n"/>
      <c r="AP61" s="115" t="n"/>
    </row>
    <row r="62" ht="21" customFormat="1" customHeight="1" s="116">
      <c r="A62" s="146" t="n"/>
      <c r="B62" s="114" t="n"/>
      <c r="C62" s="143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08" t="n"/>
      <c r="N62" s="108" t="n"/>
      <c r="O62" s="108" t="n"/>
      <c r="P62" s="108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5" t="n"/>
      <c r="AF62" s="115" t="n"/>
      <c r="AG62" s="115" t="n"/>
      <c r="AH62" s="115" t="n"/>
      <c r="AI62" s="115" t="n"/>
      <c r="AJ62" s="115" t="n"/>
      <c r="AK62" s="115" t="n"/>
      <c r="AL62" s="115" t="n"/>
      <c r="AM62" s="115" t="n"/>
      <c r="AN62" s="115" t="n"/>
      <c r="AO62" s="115" t="n"/>
      <c r="AP62" s="115" t="n"/>
    </row>
    <row r="63" ht="25.8" customFormat="1" customHeight="1" s="116">
      <c r="A63" s="147" t="n"/>
      <c r="B63" s="148" t="n"/>
      <c r="C63" s="119" t="n"/>
      <c r="L63" s="119" t="n"/>
      <c r="M63" s="119" t="n"/>
      <c r="N63" s="119" t="n"/>
      <c r="O63" s="119" t="n"/>
      <c r="P63" s="119" t="n"/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</row>
    <row r="64" ht="21" customFormat="1" customHeight="1" s="116">
      <c r="A64" s="119" t="n"/>
      <c r="B64" s="119" t="n"/>
      <c r="C64" s="119" t="n"/>
      <c r="L64" s="119" t="n"/>
      <c r="M64" s="119" t="n"/>
      <c r="N64" s="119" t="n"/>
      <c r="O64" s="119" t="n"/>
      <c r="P64" s="119" t="n"/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</row>
    <row r="65" ht="21" customFormat="1" customHeight="1" s="116">
      <c r="A65" s="119" t="n"/>
      <c r="B65" s="119" t="n"/>
      <c r="C65" s="119" t="n"/>
      <c r="L65" s="119" t="n"/>
      <c r="M65" s="119" t="n"/>
      <c r="N65" s="119" t="n"/>
      <c r="O65" s="119" t="n"/>
      <c r="P65" s="119" t="n"/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</row>
    <row r="66" ht="21" customFormat="1" customHeight="1" s="116">
      <c r="A66" s="119" t="n"/>
      <c r="B66" s="119" t="n"/>
      <c r="C66" s="119" t="n"/>
      <c r="L66" s="119" t="n"/>
      <c r="M66" s="119" t="n"/>
      <c r="N66" s="119" t="n"/>
      <c r="O66" s="119" t="n"/>
      <c r="P66" s="119" t="n"/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</row>
    <row r="67" ht="21" customFormat="1" customHeight="1" s="116">
      <c r="A67" s="119" t="n"/>
      <c r="B67" s="119" t="n"/>
      <c r="C67" s="119" t="n"/>
      <c r="L67" s="119" t="n"/>
      <c r="M67" s="119" t="n"/>
      <c r="N67" s="119" t="n"/>
      <c r="O67" s="119" t="n"/>
      <c r="P67" s="119" t="n"/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</row>
    <row r="68" ht="21" customFormat="1" customHeight="1" s="116">
      <c r="A68" s="119" t="n"/>
      <c r="B68" s="119" t="n"/>
      <c r="C68" s="119" t="n"/>
      <c r="L68" s="119" t="n"/>
      <c r="M68" s="119" t="n"/>
      <c r="N68" s="119" t="n"/>
      <c r="O68" s="119" t="n"/>
      <c r="P68" s="119" t="n"/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</row>
    <row r="69" ht="21" customFormat="1" customHeight="1" s="116">
      <c r="A69" s="119" t="n"/>
      <c r="B69" s="119" t="n"/>
      <c r="C69" s="119" t="n"/>
      <c r="L69" s="119" t="n"/>
      <c r="M69" s="119" t="n"/>
      <c r="N69" s="119" t="n"/>
      <c r="O69" s="119" t="n"/>
      <c r="P69" s="119" t="n"/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</row>
    <row r="70" ht="21" customFormat="1" customHeight="1" s="116">
      <c r="A70" s="119" t="n"/>
      <c r="B70" s="119" t="n"/>
      <c r="C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</row>
    <row r="71" ht="21" customFormat="1" customHeight="1" s="116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/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</row>
    <row r="72" customFormat="1" s="116"/>
    <row r="73" customFormat="1" s="116"/>
    <row r="74" customFormat="1" s="116"/>
    <row r="75" customFormat="1" s="116"/>
    <row r="76" customFormat="1" s="116"/>
    <row r="77" customFormat="1" s="116"/>
    <row r="78" customFormat="1" s="116"/>
    <row r="79" customFormat="1" s="116"/>
    <row r="80" customFormat="1" s="116"/>
    <row r="81" customFormat="1" s="116"/>
    <row r="82" customFormat="1" s="116"/>
    <row r="83" customFormat="1" s="116"/>
    <row r="84" customFormat="1" s="116"/>
    <row r="85" customFormat="1" s="116"/>
    <row r="86" customFormat="1" s="116"/>
    <row r="87" customFormat="1" s="116"/>
    <row r="88" customFormat="1" s="116"/>
    <row r="89" customFormat="1" s="116"/>
    <row r="90" customFormat="1" s="116"/>
    <row r="91" customFormat="1" s="116"/>
    <row r="92" customFormat="1" s="116"/>
    <row r="93" customFormat="1" s="116"/>
    <row r="94" customFormat="1" s="116"/>
    <row r="95" customFormat="1" s="116"/>
    <row r="96" customFormat="1" s="116"/>
    <row r="97" customFormat="1" s="116"/>
    <row r="98" customFormat="1" s="116"/>
    <row r="99" customFormat="1" s="116"/>
    <row r="100" customFormat="1" s="116"/>
    <row r="101" customFormat="1" s="116"/>
    <row r="102" customFormat="1" s="116"/>
    <row r="103" customFormat="1" s="116"/>
    <row r="104" customFormat="1" s="116"/>
    <row r="105" customFormat="1" s="116"/>
    <row r="106" customFormat="1" s="116"/>
    <row r="107" customFormat="1" s="116"/>
    <row r="108" customFormat="1" s="116"/>
    <row r="109" customFormat="1" s="116"/>
    <row r="110" customFormat="1" s="116"/>
    <row r="111" customFormat="1" s="116"/>
    <row r="112" customFormat="1" s="116"/>
    <row r="113" customFormat="1" s="116"/>
    <row r="114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AD114" s="116" t="n"/>
      <c r="AE114" s="116" t="n"/>
      <c r="AF114" s="116" t="n"/>
      <c r="AG114" s="116" t="n"/>
      <c r="AH114" s="116" t="n"/>
    </row>
  </sheetData>
  <mergeCells count="12">
    <mergeCell ref="A34:K34"/>
    <mergeCell ref="M34:AD34"/>
    <mergeCell ref="M4:AC4"/>
    <mergeCell ref="A60:B60"/>
    <mergeCell ref="A2:H2"/>
    <mergeCell ref="AF58:AG58"/>
    <mergeCell ref="M28:AC28"/>
    <mergeCell ref="A3:I3"/>
    <mergeCell ref="A1:H1"/>
    <mergeCell ref="A4:I4"/>
    <mergeCell ref="A61:B61"/>
    <mergeCell ref="AF57:AG57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GUILHERME BORGES ROCHA</dc:creator>
  <dcterms:created xmlns:dcterms="http://purl.org/dc/terms/" xmlns:xsi="http://www.w3.org/2001/XMLSchema-instance" xsi:type="dcterms:W3CDTF">2026-09-23T13:27:25Z</dcterms:created>
  <dcterms:modified xmlns:dcterms="http://purl.org/dc/terms/" xmlns:xsi="http://www.w3.org/2001/XMLSchema-instance" xsi:type="dcterms:W3CDTF">2026-09-27T23:59:26Z</dcterms:modified>
  <cp:lastModifiedBy>GUILHERME BORGES ROCHA</cp:lastModifiedBy>
</cp:coreProperties>
</file>